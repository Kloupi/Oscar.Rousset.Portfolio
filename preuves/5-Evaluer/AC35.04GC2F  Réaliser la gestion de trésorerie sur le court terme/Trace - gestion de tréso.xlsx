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8b0d8ad050c8f0/Documents/Travail/But GEA/3e année/Sprint/Portfolio Deust/Trace/éléments/5-Evaluer/AC35.04GC2F  Réaliser la gestion de trésorerie sur le court terme/"/>
    </mc:Choice>
  </mc:AlternateContent>
  <xr:revisionPtr revIDLastSave="0" documentId="8_{432D9D2A-B00B-4AE4-9752-61FECF08B0D9}" xr6:coauthVersionLast="47" xr6:coauthVersionMax="47" xr10:uidLastSave="{00000000-0000-0000-0000-000000000000}"/>
  <bookViews>
    <workbookView xWindow="49785" yWindow="3885" windowWidth="21600" windowHeight="11055" xr2:uid="{6E986478-4C52-49A4-93BA-9A1C230B01C9}"/>
  </bookViews>
  <sheets>
    <sheet name="Tableau de tréso pr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" i="2" l="1"/>
  <c r="T6" i="2"/>
  <c r="U6" i="2"/>
  <c r="W6" i="2"/>
  <c r="AE6" i="2"/>
  <c r="F7" i="2"/>
  <c r="G7" i="2"/>
  <c r="H7" i="2"/>
  <c r="I7" i="2"/>
  <c r="J7" i="2"/>
  <c r="K7" i="2"/>
  <c r="L7" i="2"/>
  <c r="M7" i="2"/>
  <c r="N7" i="2"/>
  <c r="O7" i="2"/>
  <c r="Q7" i="2"/>
  <c r="W7" i="2"/>
  <c r="AE7" i="2"/>
  <c r="O9" i="2"/>
  <c r="W9" i="2"/>
  <c r="AE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W10" i="2"/>
  <c r="O11" i="2"/>
  <c r="W11" i="2"/>
  <c r="W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W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W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AF16" i="2"/>
  <c r="AG16" i="2"/>
  <c r="AH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AE17" i="2"/>
  <c r="AF17" i="2"/>
  <c r="AG17" i="2"/>
  <c r="N18" i="2"/>
  <c r="O18" i="2"/>
  <c r="C19" i="2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C21" i="2"/>
  <c r="AE21" i="2"/>
  <c r="C22" i="2"/>
  <c r="D22" i="2"/>
  <c r="E22" i="2"/>
  <c r="F22" i="2"/>
  <c r="G22" i="2"/>
  <c r="H22" i="2"/>
  <c r="I22" i="2"/>
  <c r="J22" i="2"/>
  <c r="K22" i="2"/>
  <c r="L22" i="2"/>
  <c r="M22" i="2"/>
  <c r="N22" i="2"/>
  <c r="C24" i="2"/>
  <c r="D24" i="2"/>
  <c r="E24" i="2"/>
  <c r="F24" i="2"/>
  <c r="G24" i="2"/>
  <c r="H24" i="2"/>
  <c r="I24" i="2"/>
  <c r="J24" i="2"/>
  <c r="K24" i="2"/>
  <c r="L24" i="2"/>
  <c r="M24" i="2"/>
  <c r="N24" i="2"/>
  <c r="C25" i="2"/>
  <c r="AE26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Q28" i="2"/>
  <c r="AE28" i="2"/>
  <c r="O29" i="2"/>
  <c r="C30" i="2"/>
  <c r="D30" i="2"/>
  <c r="E30" i="2"/>
  <c r="F30" i="2"/>
  <c r="G30" i="2"/>
  <c r="H30" i="2"/>
  <c r="I30" i="2"/>
  <c r="J30" i="2"/>
  <c r="K30" i="2"/>
  <c r="L30" i="2"/>
  <c r="M30" i="2"/>
  <c r="N30" i="2"/>
  <c r="O31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C34" i="2"/>
  <c r="D34" i="2"/>
  <c r="E34" i="2"/>
  <c r="F34" i="2"/>
  <c r="G34" i="2"/>
  <c r="H34" i="2"/>
  <c r="I34" i="2"/>
  <c r="J34" i="2"/>
  <c r="K34" i="2"/>
  <c r="L34" i="2"/>
  <c r="M34" i="2"/>
  <c r="N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AE35" i="2"/>
  <c r="AF35" i="2"/>
  <c r="AG35" i="2"/>
  <c r="AH35" i="2"/>
  <c r="AI35" i="2"/>
  <c r="AE36" i="2"/>
  <c r="AF36" i="2"/>
  <c r="AG36" i="2"/>
  <c r="AH36" i="2"/>
  <c r="AI36" i="2"/>
  <c r="O37" i="2"/>
  <c r="AE37" i="2"/>
  <c r="AG37" i="2"/>
  <c r="AH37" i="2"/>
  <c r="AE38" i="2"/>
  <c r="AF38" i="2"/>
  <c r="AG38" i="2"/>
  <c r="N39" i="2"/>
  <c r="U39" i="2"/>
  <c r="C40" i="2"/>
  <c r="D40" i="2"/>
  <c r="E40" i="2"/>
  <c r="F40" i="2"/>
  <c r="G40" i="2"/>
  <c r="H40" i="2"/>
  <c r="I40" i="2"/>
  <c r="J40" i="2"/>
  <c r="K40" i="2"/>
  <c r="L40" i="2"/>
  <c r="M40" i="2"/>
  <c r="N40" i="2"/>
  <c r="AE40" i="2"/>
  <c r="AF40" i="2"/>
  <c r="AG40" i="2"/>
  <c r="AH40" i="2"/>
  <c r="AI40" i="2"/>
  <c r="O41" i="2"/>
  <c r="C42" i="2"/>
  <c r="D42" i="2"/>
  <c r="E42" i="2"/>
  <c r="G42" i="2"/>
  <c r="H42" i="2"/>
  <c r="I42" i="2"/>
  <c r="J42" i="2"/>
  <c r="K42" i="2"/>
  <c r="L42" i="2"/>
  <c r="M42" i="2"/>
  <c r="N42" i="2"/>
  <c r="C44" i="2"/>
  <c r="D44" i="2"/>
  <c r="E44" i="2"/>
  <c r="G44" i="2"/>
  <c r="H44" i="2"/>
  <c r="I44" i="2"/>
  <c r="J44" i="2"/>
  <c r="K44" i="2"/>
  <c r="M44" i="2"/>
  <c r="N44" i="2"/>
  <c r="AE47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Q49" i="2"/>
  <c r="AE49" i="2"/>
  <c r="O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O52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AE56" i="2"/>
  <c r="AF56" i="2"/>
  <c r="AG56" i="2"/>
  <c r="AH56" i="2"/>
  <c r="AI56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AE58" i="2"/>
  <c r="AG58" i="2"/>
  <c r="N59" i="2"/>
  <c r="C60" i="2"/>
  <c r="D60" i="2"/>
  <c r="E60" i="2"/>
  <c r="F60" i="2"/>
  <c r="G60" i="2"/>
  <c r="H60" i="2"/>
  <c r="I60" i="2"/>
  <c r="J60" i="2"/>
  <c r="K60" i="2"/>
  <c r="L60" i="2"/>
  <c r="M60" i="2"/>
  <c r="N60" i="2"/>
  <c r="AE60" i="2"/>
  <c r="AF60" i="2"/>
  <c r="AG60" i="2"/>
  <c r="AH60" i="2"/>
  <c r="O61" i="2"/>
  <c r="C62" i="2"/>
  <c r="D62" i="2"/>
  <c r="E62" i="2"/>
  <c r="G62" i="2"/>
  <c r="H62" i="2"/>
  <c r="I62" i="2"/>
  <c r="J62" i="2"/>
  <c r="K62" i="2"/>
  <c r="L62" i="2"/>
  <c r="M62" i="2"/>
  <c r="N62" i="2"/>
  <c r="C64" i="2"/>
  <c r="D64" i="2"/>
  <c r="E64" i="2"/>
  <c r="G64" i="2"/>
  <c r="H64" i="2"/>
  <c r="I64" i="2"/>
  <c r="J64" i="2"/>
  <c r="K64" i="2"/>
  <c r="L64" i="2"/>
  <c r="M64" i="2"/>
  <c r="N64" i="2"/>
  <c r="AE67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Q69" i="2"/>
  <c r="AE69" i="2"/>
  <c r="O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O72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AE76" i="2"/>
  <c r="AF76" i="2"/>
  <c r="AG76" i="2"/>
  <c r="AH76" i="2"/>
  <c r="AI76" i="2"/>
  <c r="AE77" i="2"/>
  <c r="AF77" i="2"/>
  <c r="AG77" i="2"/>
  <c r="AH77" i="2"/>
  <c r="AI77" i="2"/>
  <c r="O78" i="2"/>
  <c r="AE78" i="2"/>
  <c r="AG78" i="2"/>
  <c r="N79" i="2"/>
  <c r="C80" i="2"/>
  <c r="D80" i="2"/>
  <c r="E80" i="2"/>
  <c r="F80" i="2"/>
  <c r="G80" i="2"/>
  <c r="H80" i="2"/>
  <c r="I80" i="2"/>
  <c r="J80" i="2"/>
  <c r="K80" i="2"/>
  <c r="L80" i="2"/>
  <c r="M80" i="2"/>
  <c r="N80" i="2"/>
  <c r="AE80" i="2"/>
  <c r="AF80" i="2"/>
  <c r="AG80" i="2"/>
  <c r="AH80" i="2"/>
  <c r="AI80" i="2"/>
  <c r="O81" i="2"/>
  <c r="C82" i="2"/>
  <c r="D82" i="2"/>
  <c r="E82" i="2"/>
  <c r="G82" i="2"/>
  <c r="H82" i="2"/>
  <c r="I82" i="2"/>
  <c r="J82" i="2"/>
  <c r="K82" i="2"/>
  <c r="L82" i="2"/>
  <c r="M82" i="2"/>
  <c r="N82" i="2"/>
  <c r="C84" i="2"/>
  <c r="D84" i="2"/>
  <c r="E84" i="2"/>
  <c r="G84" i="2"/>
  <c r="H84" i="2"/>
  <c r="I84" i="2"/>
  <c r="J84" i="2"/>
  <c r="K84" i="2"/>
  <c r="L84" i="2"/>
  <c r="M84" i="2"/>
  <c r="N84" i="2"/>
  <c r="C88" i="2"/>
  <c r="D88" i="2"/>
  <c r="E88" i="2"/>
  <c r="Q6" i="2" l="1"/>
  <c r="Q9" i="2" s="1"/>
  <c r="V6" i="2"/>
  <c r="AF6" i="2"/>
  <c r="AG6" i="2"/>
  <c r="AG9" i="2" s="1"/>
  <c r="AH6" i="2"/>
  <c r="AH9" i="2" s="1"/>
  <c r="R10" i="2"/>
  <c r="AE12" i="2"/>
  <c r="AF12" i="2"/>
  <c r="AG12" i="2"/>
  <c r="AH12" i="2"/>
  <c r="AE13" i="2"/>
  <c r="AF13" i="2"/>
  <c r="AG13" i="2"/>
  <c r="AH13" i="2"/>
  <c r="AE14" i="2"/>
  <c r="AF14" i="2"/>
  <c r="AI14" i="2" s="1"/>
  <c r="AG14" i="2"/>
  <c r="AH14" i="2"/>
  <c r="AE15" i="2"/>
  <c r="AF15" i="2"/>
  <c r="AG15" i="2"/>
  <c r="AH15" i="2"/>
  <c r="AE16" i="2"/>
  <c r="AI16" i="2" s="1"/>
  <c r="AH17" i="2"/>
  <c r="AI17" i="2" s="1"/>
  <c r="AE18" i="2"/>
  <c r="AF18" i="2"/>
  <c r="AG18" i="2"/>
  <c r="AH18" i="2"/>
  <c r="AE19" i="2"/>
  <c r="AF19" i="2"/>
  <c r="AG19" i="2"/>
  <c r="AH19" i="2"/>
  <c r="O22" i="2"/>
  <c r="Q27" i="2"/>
  <c r="Q29" i="2" s="1"/>
  <c r="AG27" i="2"/>
  <c r="AG29" i="2" s="1"/>
  <c r="O30" i="2"/>
  <c r="AH32" i="2"/>
  <c r="AF33" i="2"/>
  <c r="O34" i="2"/>
  <c r="AF34" i="2"/>
  <c r="AH34" i="2"/>
  <c r="Q48" i="2"/>
  <c r="Q50" i="2" s="1"/>
  <c r="AE48" i="2"/>
  <c r="AE50" i="2" s="1"/>
  <c r="AF48" i="2"/>
  <c r="AG48" i="2"/>
  <c r="AG50" i="2" s="1"/>
  <c r="AH48" i="2"/>
  <c r="AH50" i="2" s="1"/>
  <c r="AE53" i="2"/>
  <c r="AF53" i="2"/>
  <c r="AG53" i="2"/>
  <c r="AH53" i="2"/>
  <c r="AE54" i="2"/>
  <c r="AF54" i="2"/>
  <c r="AG54" i="2"/>
  <c r="AH54" i="2"/>
  <c r="AE55" i="2"/>
  <c r="AF55" i="2"/>
  <c r="AI55" i="2" s="1"/>
  <c r="AG55" i="2"/>
  <c r="AH55" i="2"/>
  <c r="AE57" i="2"/>
  <c r="AF57" i="2"/>
  <c r="AG57" i="2"/>
  <c r="AH57" i="2"/>
  <c r="AH58" i="2"/>
  <c r="AE59" i="2"/>
  <c r="AF59" i="2"/>
  <c r="AG59" i="2"/>
  <c r="AH59" i="2"/>
  <c r="AI60" i="2"/>
  <c r="Q68" i="2"/>
  <c r="Q70" i="2" s="1"/>
  <c r="AE68" i="2"/>
  <c r="AE70" i="2" s="1"/>
  <c r="AF68" i="2"/>
  <c r="AG68" i="2"/>
  <c r="AG70" i="2" s="1"/>
  <c r="AH68" i="2"/>
  <c r="AH70" i="2" s="1"/>
  <c r="AE73" i="2"/>
  <c r="AF73" i="2"/>
  <c r="AG73" i="2"/>
  <c r="AH73" i="2"/>
  <c r="AE74" i="2"/>
  <c r="AF74" i="2"/>
  <c r="AG74" i="2"/>
  <c r="AH74" i="2"/>
  <c r="AE75" i="2"/>
  <c r="AF75" i="2"/>
  <c r="AI75" i="2" s="1"/>
  <c r="AG75" i="2"/>
  <c r="AH75" i="2"/>
  <c r="AH78" i="2"/>
  <c r="AE79" i="2"/>
  <c r="AF79" i="2"/>
  <c r="AI79" i="2" s="1"/>
  <c r="AG79" i="2"/>
  <c r="AH79" i="2"/>
  <c r="D23" i="2"/>
  <c r="D25" i="2" s="1"/>
  <c r="E23" i="2" s="1"/>
  <c r="E25" i="2" s="1"/>
  <c r="F23" i="2" s="1"/>
  <c r="F25" i="2"/>
  <c r="G23" i="2" s="1"/>
  <c r="G25" i="2" s="1"/>
  <c r="H23" i="2" s="1"/>
  <c r="H25" i="2" s="1"/>
  <c r="I23" i="2" s="1"/>
  <c r="I25" i="2" s="1"/>
  <c r="J23" i="2" s="1"/>
  <c r="J25" i="2" s="1"/>
  <c r="K23" i="2" s="1"/>
  <c r="K25" i="2" s="1"/>
  <c r="L23" i="2" s="1"/>
  <c r="L25" i="2" s="1"/>
  <c r="M23" i="2" s="1"/>
  <c r="M25" i="2" s="1"/>
  <c r="N23" i="2" s="1"/>
  <c r="N25" i="2" s="1"/>
  <c r="AE27" i="2"/>
  <c r="AE29" i="2" s="1"/>
  <c r="AF27" i="2"/>
  <c r="AH27" i="2"/>
  <c r="AH29" i="2" s="1"/>
  <c r="AF32" i="2"/>
  <c r="AE33" i="2"/>
  <c r="AH33" i="2"/>
  <c r="AF39" i="2"/>
  <c r="AH39" i="2"/>
  <c r="AE32" i="2"/>
  <c r="AG32" i="2"/>
  <c r="AG33" i="2"/>
  <c r="AE34" i="2"/>
  <c r="AG34" i="2"/>
  <c r="AH38" i="2"/>
  <c r="AI38" i="2" s="1"/>
  <c r="AE39" i="2"/>
  <c r="AG39" i="2"/>
  <c r="L44" i="2"/>
  <c r="X6" i="2" l="1"/>
  <c r="T7" i="2" s="1"/>
  <c r="AF9" i="2"/>
  <c r="AI6" i="2"/>
  <c r="AI9" i="2" s="1"/>
  <c r="AF20" i="2"/>
  <c r="AI12" i="2"/>
  <c r="AF50" i="2"/>
  <c r="AI48" i="2"/>
  <c r="AI50" i="2" s="1"/>
  <c r="AI53" i="2"/>
  <c r="AF70" i="2"/>
  <c r="AI68" i="2"/>
  <c r="AI70" i="2" s="1"/>
  <c r="AI73" i="2"/>
  <c r="O25" i="2"/>
  <c r="C43" i="2"/>
  <c r="C45" i="2" s="1"/>
  <c r="D43" i="2" s="1"/>
  <c r="D45" i="2" s="1"/>
  <c r="E43" i="2" s="1"/>
  <c r="E45" i="2" s="1"/>
  <c r="F43" i="2" s="1"/>
  <c r="AF29" i="2"/>
  <c r="AI27" i="2"/>
  <c r="AI29" i="2" s="1"/>
  <c r="AI32" i="2"/>
  <c r="F38" i="2"/>
  <c r="AI15" i="2"/>
  <c r="AI18" i="2"/>
  <c r="AI19" i="2"/>
  <c r="AH41" i="2"/>
  <c r="AH43" i="2" s="1"/>
  <c r="AI33" i="2"/>
  <c r="AI34" i="2"/>
  <c r="AE61" i="2"/>
  <c r="AE63" i="2" s="1"/>
  <c r="AG61" i="2"/>
  <c r="AG63" i="2" s="1"/>
  <c r="AH61" i="2"/>
  <c r="AH63" i="2" s="1"/>
  <c r="AI54" i="2"/>
  <c r="AE20" i="2"/>
  <c r="AE22" i="2" s="1"/>
  <c r="AE23" i="2" s="1"/>
  <c r="AF21" i="2" s="1"/>
  <c r="AH20" i="2"/>
  <c r="AH22" i="2" s="1"/>
  <c r="AI13" i="2"/>
  <c r="AI57" i="2"/>
  <c r="AI59" i="2"/>
  <c r="AE81" i="2"/>
  <c r="AE83" i="2" s="1"/>
  <c r="AG81" i="2"/>
  <c r="AG83" i="2" s="1"/>
  <c r="AH81" i="2"/>
  <c r="AH83" i="2" s="1"/>
  <c r="AI74" i="2"/>
  <c r="AE41" i="2"/>
  <c r="AE43" i="2" s="1"/>
  <c r="AG20" i="2"/>
  <c r="AG22" i="2" s="1"/>
  <c r="AI39" i="2"/>
  <c r="AG41" i="2"/>
  <c r="AG43" i="2" s="1"/>
  <c r="U7" i="2" l="1"/>
  <c r="AF37" i="2"/>
  <c r="F42" i="2"/>
  <c r="F44" i="2" s="1"/>
  <c r="F45" i="2" s="1"/>
  <c r="G43" i="2" s="1"/>
  <c r="G45" i="2" s="1"/>
  <c r="H43" i="2" s="1"/>
  <c r="H45" i="2" s="1"/>
  <c r="I43" i="2" s="1"/>
  <c r="I45" i="2" s="1"/>
  <c r="J43" i="2" s="1"/>
  <c r="J45" i="2" s="1"/>
  <c r="K43" i="2" s="1"/>
  <c r="K45" i="2" s="1"/>
  <c r="L43" i="2" s="1"/>
  <c r="L45" i="2" s="1"/>
  <c r="M43" i="2" s="1"/>
  <c r="M45" i="2" s="1"/>
  <c r="N43" i="2" s="1"/>
  <c r="N45" i="2" s="1"/>
  <c r="AF22" i="2"/>
  <c r="AF23" i="2" s="1"/>
  <c r="AG21" i="2" s="1"/>
  <c r="AG23" i="2" s="1"/>
  <c r="AH21" i="2" s="1"/>
  <c r="AH23" i="2" s="1"/>
  <c r="AI23" i="2" s="1"/>
  <c r="AE42" i="2" s="1"/>
  <c r="AE44" i="2" s="1"/>
  <c r="AF42" i="2" s="1"/>
  <c r="V7" i="2" l="1"/>
  <c r="AF41" i="2"/>
  <c r="AF43" i="2" s="1"/>
  <c r="AF44" i="2" s="1"/>
  <c r="AG42" i="2" s="1"/>
  <c r="AG44" i="2" s="1"/>
  <c r="AH42" i="2" s="1"/>
  <c r="AH44" i="2" s="1"/>
  <c r="AI44" i="2" s="1"/>
  <c r="AE62" i="2" s="1"/>
  <c r="AE64" i="2" s="1"/>
  <c r="AF62" i="2" s="1"/>
  <c r="AI37" i="2"/>
  <c r="O45" i="2"/>
  <c r="C63" i="2"/>
  <c r="C65" i="2" s="1"/>
  <c r="D63" i="2" s="1"/>
  <c r="D65" i="2" s="1"/>
  <c r="E63" i="2" s="1"/>
  <c r="E65" i="2" s="1"/>
  <c r="F63" i="2" s="1"/>
  <c r="X7" i="2" l="1"/>
  <c r="T9" i="2" s="1"/>
  <c r="U9" i="2" l="1"/>
  <c r="V9" i="2" l="1"/>
  <c r="X9" i="2" l="1"/>
  <c r="T10" i="2" s="1"/>
  <c r="F59" i="2"/>
  <c r="U10" i="2" l="1"/>
  <c r="AF58" i="2"/>
  <c r="F62" i="2"/>
  <c r="F64" i="2" s="1"/>
  <c r="F65" i="2" s="1"/>
  <c r="G63" i="2" s="1"/>
  <c r="G65" i="2" s="1"/>
  <c r="H63" i="2" s="1"/>
  <c r="H65" i="2" s="1"/>
  <c r="I63" i="2" s="1"/>
  <c r="I65" i="2" s="1"/>
  <c r="J63" i="2" s="1"/>
  <c r="J65" i="2" s="1"/>
  <c r="K63" i="2" s="1"/>
  <c r="K65" i="2" s="1"/>
  <c r="L63" i="2" s="1"/>
  <c r="L65" i="2" s="1"/>
  <c r="M63" i="2" s="1"/>
  <c r="M65" i="2" s="1"/>
  <c r="N63" i="2" s="1"/>
  <c r="N65" i="2" s="1"/>
  <c r="V10" i="2" l="1"/>
  <c r="AF61" i="2"/>
  <c r="AF63" i="2" s="1"/>
  <c r="AF64" i="2" s="1"/>
  <c r="AG62" i="2" s="1"/>
  <c r="AG64" i="2" s="1"/>
  <c r="AH62" i="2" s="1"/>
  <c r="AH64" i="2" s="1"/>
  <c r="AI64" i="2" s="1"/>
  <c r="AE82" i="2" s="1"/>
  <c r="AE84" i="2" s="1"/>
  <c r="AF82" i="2" s="1"/>
  <c r="AI58" i="2"/>
  <c r="O65" i="2"/>
  <c r="C83" i="2"/>
  <c r="C85" i="2" s="1"/>
  <c r="D83" i="2" s="1"/>
  <c r="D85" i="2" s="1"/>
  <c r="E83" i="2" s="1"/>
  <c r="E85" i="2" s="1"/>
  <c r="F83" i="2" s="1"/>
  <c r="X10" i="2" l="1"/>
  <c r="T11" i="2" s="1"/>
  <c r="F79" i="2"/>
  <c r="U11" i="2" l="1"/>
  <c r="AF78" i="2"/>
  <c r="F82" i="2"/>
  <c r="F84" i="2" s="1"/>
  <c r="F85" i="2" s="1"/>
  <c r="G83" i="2" s="1"/>
  <c r="G85" i="2" s="1"/>
  <c r="H83" i="2" s="1"/>
  <c r="H85" i="2" s="1"/>
  <c r="I83" i="2" s="1"/>
  <c r="I85" i="2" s="1"/>
  <c r="J83" i="2" s="1"/>
  <c r="J85" i="2" s="1"/>
  <c r="K83" i="2" s="1"/>
  <c r="K85" i="2" s="1"/>
  <c r="L83" i="2" s="1"/>
  <c r="L85" i="2" s="1"/>
  <c r="M83" i="2" s="1"/>
  <c r="M85" i="2" s="1"/>
  <c r="N83" i="2" s="1"/>
  <c r="N85" i="2" s="1"/>
  <c r="O85" i="2" s="1"/>
  <c r="V11" i="2" l="1"/>
  <c r="X11" i="2" s="1"/>
  <c r="T12" i="2" s="1"/>
  <c r="AF81" i="2"/>
  <c r="AF83" i="2" s="1"/>
  <c r="AF84" i="2" s="1"/>
  <c r="AG82" i="2" s="1"/>
  <c r="AG84" i="2" s="1"/>
  <c r="AH82" i="2" s="1"/>
  <c r="AH84" i="2" s="1"/>
  <c r="AI84" i="2" s="1"/>
  <c r="AI78" i="2"/>
  <c r="U12" i="2" l="1"/>
  <c r="V12" i="2" s="1"/>
  <c r="X12" i="2" l="1"/>
  <c r="T13" i="2" s="1"/>
  <c r="U13" i="2" l="1"/>
  <c r="U14" i="2" l="1"/>
  <c r="V13" i="2"/>
  <c r="X13" i="2" l="1"/>
  <c r="V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tc={61FF543F-590A-4DB4-8E69-4828348C9E75}</author>
    <author>tc={5AFD6A6C-D9D9-4DE2-99AA-D1D93B8DF4BD}</author>
    <author>tc={86D9F417-154A-4E85-8616-9D4B04D47CFF}</author>
  </authors>
  <commentList>
    <comment ref="C33" authorId="0" shapeId="0" xr:uid="{61FF543F-590A-4DB4-8E69-4828348C9E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est pas obligé de se payer un salaire des le debut d’âpre le prof </t>
      </text>
    </comment>
    <comment ref="C54" authorId="1" shapeId="0" xr:uid="{5AFD6A6C-D9D9-4DE2-99AA-D1D93B8DF4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est pas obligé de se payer un salaire des le debut d’âpre le prof </t>
      </text>
    </comment>
    <comment ref="C74" authorId="2" shapeId="0" xr:uid="{86D9F417-154A-4E85-8616-9D4B04D47C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est pas obligé de se payer un salaire des le debut d’âpre le prof </t>
      </text>
    </comment>
  </commentList>
</comments>
</file>

<file path=xl/sharedStrings.xml><?xml version="1.0" encoding="utf-8"?>
<sst xmlns="http://schemas.openxmlformats.org/spreadsheetml/2006/main" count="281" uniqueCount="84">
  <si>
    <t xml:space="preserve">On doit avoir une démarche proactive vers les clients </t>
  </si>
  <si>
    <t>Y'a u, accompagnement a la reprise, phase de transition, obj maintenir le nb de vente par ans</t>
  </si>
  <si>
    <t xml:space="preserve">Un per de 10 ACTUALISÉ ON RACHÈTE DONC ON PEUT PAS DÉGRADER LE CA UN BAISSE NEST PAS VENDEUR </t>
  </si>
  <si>
    <t>Solde final</t>
  </si>
  <si>
    <t>Mouvement du mois</t>
  </si>
  <si>
    <t>Mouvement du trimestre</t>
  </si>
  <si>
    <t>Solde initial</t>
  </si>
  <si>
    <t>Total décaissements</t>
  </si>
  <si>
    <t>Autres charges</t>
  </si>
  <si>
    <t>Remboursement emprunts</t>
  </si>
  <si>
    <t>Impôts et taxes</t>
  </si>
  <si>
    <t>Fournitures/petits équipements</t>
  </si>
  <si>
    <t>Energie/Eau</t>
  </si>
  <si>
    <t>Loyer</t>
  </si>
  <si>
    <t>Charges sociales</t>
  </si>
  <si>
    <t>Salaires</t>
  </si>
  <si>
    <t>Achats matières premières</t>
  </si>
  <si>
    <t>Achats de marchandises</t>
  </si>
  <si>
    <t>Total encaissements</t>
  </si>
  <si>
    <t>Autres produits (subv., etc.)</t>
  </si>
  <si>
    <t>Production vendue</t>
  </si>
  <si>
    <t>Encaissement ventes</t>
  </si>
  <si>
    <t>Contrôle</t>
  </si>
  <si>
    <t>Total annuel</t>
  </si>
  <si>
    <t xml:space="preserve">Décembre </t>
  </si>
  <si>
    <t xml:space="preserve">Novembre </t>
  </si>
  <si>
    <t xml:space="preserve">Octobre </t>
  </si>
  <si>
    <t xml:space="preserve">Septembre </t>
  </si>
  <si>
    <t xml:space="preserve">Août </t>
  </si>
  <si>
    <t xml:space="preserve">Juillet </t>
  </si>
  <si>
    <t xml:space="preserve">Juin </t>
  </si>
  <si>
    <t xml:space="preserve">Mai </t>
  </si>
  <si>
    <t xml:space="preserve">Avril </t>
  </si>
  <si>
    <t xml:space="preserve">Mars </t>
  </si>
  <si>
    <t xml:space="preserve">Février </t>
  </si>
  <si>
    <t xml:space="preserve">Janvier </t>
  </si>
  <si>
    <t>Tableau de trésorerie (2029)</t>
  </si>
  <si>
    <t>Total Annuel</t>
  </si>
  <si>
    <t>T4</t>
  </si>
  <si>
    <t>T3</t>
  </si>
  <si>
    <t>T2</t>
  </si>
  <si>
    <t>T1</t>
  </si>
  <si>
    <t>Tableau de trésorerie (2028)</t>
  </si>
  <si>
    <t>Total</t>
  </si>
  <si>
    <t>Juin</t>
  </si>
  <si>
    <t>Paiement IS</t>
  </si>
  <si>
    <t>Mai</t>
  </si>
  <si>
    <t>Avril</t>
  </si>
  <si>
    <t xml:space="preserve">  </t>
  </si>
  <si>
    <t>Mars</t>
  </si>
  <si>
    <t>Février</t>
  </si>
  <si>
    <t>Janvier</t>
  </si>
  <si>
    <t>Décembre</t>
  </si>
  <si>
    <t>Novembre</t>
  </si>
  <si>
    <t>Octobre</t>
  </si>
  <si>
    <t>Septembre</t>
  </si>
  <si>
    <t>Août</t>
  </si>
  <si>
    <t>Juillet</t>
  </si>
  <si>
    <t>%</t>
  </si>
  <si>
    <t xml:space="preserve">Tableau annexe </t>
  </si>
  <si>
    <t>Tableau de trésorerie (2027)</t>
  </si>
  <si>
    <t>Solde final (FC 30k€)</t>
  </si>
  <si>
    <t>Aucun encaissement n’est prévu au premier trimestre 2026, celui-ci intégrant un délai moyen de règlement clients de trois mois, cohérent avec la nature de l’activité.</t>
  </si>
  <si>
    <t>Nous avons choisi un montant d’emprunt spécifique correspondant à une annuité d’environ 100 k€, afin d’assurer la cohérence du modèle de valorisation.</t>
  </si>
  <si>
    <t xml:space="preserve">Frais divers (honoraires, assurance, etc.) </t>
  </si>
  <si>
    <t>Ammortissement constant</t>
  </si>
  <si>
    <t>Annuité constante</t>
  </si>
  <si>
    <t>Mode de remboursement</t>
  </si>
  <si>
    <t xml:space="preserve">Nombres d'années </t>
  </si>
  <si>
    <t xml:space="preserve">Taux </t>
  </si>
  <si>
    <t xml:space="preserve">Montant </t>
  </si>
  <si>
    <t xml:space="preserve">Total </t>
  </si>
  <si>
    <t>Apport en compte courant d'associé</t>
  </si>
  <si>
    <t>Capital final</t>
  </si>
  <si>
    <t>Annuité</t>
  </si>
  <si>
    <t>Amortissement</t>
  </si>
  <si>
    <t>Intérêts</t>
  </si>
  <si>
    <t>Capital initial</t>
  </si>
  <si>
    <t>Exercices</t>
  </si>
  <si>
    <t xml:space="preserve">...Novembre </t>
  </si>
  <si>
    <t>Mai…</t>
  </si>
  <si>
    <t>Tableau de trésorerie (2026)</t>
  </si>
  <si>
    <t>Tableau des emprunts</t>
  </si>
  <si>
    <t>Tableau de trésorerie prévisionnel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</si>
</sst>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)_ ;_ * \(#,##0\)_ ;_ * &quot;-&quot;??_)_ ;_ @_ "/>
    <numFmt numFmtId="165" formatCode="#,,"/>
    <numFmt numFmtId="166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  <font>
      <sz val="11"/>
      <color rgb="FF000000"/>
      <name val="Calibri Light"/>
      <family val="2"/>
    </font>
    <font>
      <sz val="11"/>
      <color rgb="FF242424"/>
      <name val="Aptos Narrow"/>
      <family val="2"/>
    </font>
    <font>
      <b/>
      <sz val="14"/>
      <color theme="1"/>
      <name val="Calibri Light"/>
      <family val="2"/>
    </font>
    <font>
      <sz val="14"/>
      <color theme="1"/>
      <name val="Calibri Light"/>
      <family val="2"/>
    </font>
    <font>
      <b/>
      <sz val="11"/>
      <color rgb="FF006100"/>
      <name val="Aptos Narrow"/>
      <family val="2"/>
      <scheme val="minor"/>
    </font>
    <font>
      <sz val="11"/>
      <color theme="5" tint="-0.249977111117893"/>
      <name val="Calibri Light"/>
      <family val="2"/>
    </font>
    <font>
      <sz val="14"/>
      <color theme="5" tint="-0.249977111117893"/>
      <name val="Calibri Light"/>
      <family val="2"/>
    </font>
    <font>
      <sz val="14"/>
      <color rgb="FF000000"/>
      <name val="Calibri Light"/>
      <family val="2"/>
    </font>
    <font>
      <sz val="14"/>
      <color rgb="FF242424"/>
      <name val="Aptos Narrow"/>
      <family val="2"/>
    </font>
    <font>
      <b/>
      <u/>
      <sz val="24"/>
      <color theme="3" tint="9.9978637043366805E-2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indexed="64"/>
      </bottom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7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4" borderId="2" xfId="0" applyNumberFormat="1" applyFont="1" applyFill="1" applyBorder="1" applyAlignment="1">
      <alignment horizontal="center"/>
    </xf>
    <xf numFmtId="164" fontId="7" fillId="4" borderId="3" xfId="0" applyNumberFormat="1" applyFont="1" applyFill="1" applyBorder="1" applyAlignment="1">
      <alignment horizontal="right"/>
    </xf>
    <xf numFmtId="164" fontId="7" fillId="4" borderId="3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left"/>
    </xf>
    <xf numFmtId="164" fontId="7" fillId="4" borderId="5" xfId="0" applyNumberFormat="1" applyFont="1" applyFill="1" applyBorder="1" applyAlignment="1">
      <alignment horizontal="right"/>
    </xf>
    <xf numFmtId="0" fontId="5" fillId="0" borderId="6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0" fontId="5" fillId="0" borderId="8" xfId="0" applyFont="1" applyBorder="1" applyAlignment="1">
      <alignment horizontal="left"/>
    </xf>
    <xf numFmtId="0" fontId="5" fillId="0" borderId="9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right"/>
    </xf>
    <xf numFmtId="164" fontId="5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5" fillId="0" borderId="13" xfId="0" applyFont="1" applyBorder="1"/>
    <xf numFmtId="164" fontId="5" fillId="0" borderId="14" xfId="0" applyNumberFormat="1" applyFont="1" applyBorder="1" applyAlignment="1">
      <alignment horizontal="right"/>
    </xf>
    <xf numFmtId="164" fontId="7" fillId="0" borderId="15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164" fontId="5" fillId="0" borderId="9" xfId="0" applyNumberFormat="1" applyFont="1" applyBorder="1"/>
    <xf numFmtId="164" fontId="7" fillId="0" borderId="9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164" fontId="5" fillId="0" borderId="16" xfId="0" applyNumberFormat="1" applyFont="1" applyBorder="1" applyAlignment="1">
      <alignment horizontal="right"/>
    </xf>
    <xf numFmtId="0" fontId="8" fillId="0" borderId="1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5" fillId="0" borderId="18" xfId="0" applyNumberFormat="1" applyFont="1" applyBorder="1" applyAlignment="1">
      <alignment horizontal="center"/>
    </xf>
    <xf numFmtId="164" fontId="5" fillId="0" borderId="19" xfId="0" applyNumberFormat="1" applyFont="1" applyBorder="1" applyAlignment="1">
      <alignment horizontal="right"/>
    </xf>
    <xf numFmtId="164" fontId="5" fillId="0" borderId="19" xfId="0" applyNumberFormat="1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164" fontId="7" fillId="0" borderId="5" xfId="0" applyNumberFormat="1" applyFont="1" applyBorder="1" applyAlignment="1">
      <alignment horizontal="right"/>
    </xf>
    <xf numFmtId="164" fontId="3" fillId="5" borderId="6" xfId="4" applyNumberFormat="1" applyFill="1" applyBorder="1" applyAlignment="1">
      <alignment horizontal="center"/>
    </xf>
    <xf numFmtId="164" fontId="5" fillId="0" borderId="0" xfId="0" applyNumberFormat="1" applyFont="1" applyAlignment="1">
      <alignment horizontal="right" wrapText="1"/>
    </xf>
    <xf numFmtId="164" fontId="5" fillId="0" borderId="6" xfId="0" applyNumberFormat="1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7" fillId="6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right"/>
    </xf>
    <xf numFmtId="0" fontId="7" fillId="6" borderId="19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left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4" fontId="2" fillId="2" borderId="6" xfId="3" applyNumberFormat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9" fontId="7" fillId="0" borderId="14" xfId="0" applyNumberFormat="1" applyFont="1" applyBorder="1"/>
    <xf numFmtId="0" fontId="7" fillId="0" borderId="27" xfId="0" applyFont="1" applyBorder="1"/>
    <xf numFmtId="9" fontId="5" fillId="0" borderId="1" xfId="2" applyFont="1" applyBorder="1"/>
    <xf numFmtId="0" fontId="5" fillId="0" borderId="3" xfId="0" applyFont="1" applyBorder="1"/>
    <xf numFmtId="0" fontId="5" fillId="0" borderId="28" xfId="0" applyFont="1" applyBorder="1"/>
    <xf numFmtId="9" fontId="5" fillId="0" borderId="6" xfId="2" applyFont="1" applyBorder="1"/>
    <xf numFmtId="0" fontId="5" fillId="0" borderId="17" xfId="0" applyFont="1" applyBorder="1"/>
    <xf numFmtId="9" fontId="5" fillId="0" borderId="6" xfId="0" applyNumberFormat="1" applyFont="1" applyBorder="1"/>
    <xf numFmtId="9" fontId="5" fillId="0" borderId="6" xfId="2" applyFont="1" applyBorder="1" applyAlignment="1">
      <alignment wrapText="1"/>
    </xf>
    <xf numFmtId="9" fontId="5" fillId="0" borderId="29" xfId="0" applyNumberFormat="1" applyFont="1" applyBorder="1"/>
    <xf numFmtId="0" fontId="5" fillId="0" borderId="19" xfId="0" applyFont="1" applyBorder="1"/>
    <xf numFmtId="0" fontId="5" fillId="0" borderId="30" xfId="0" applyFont="1" applyBorder="1"/>
    <xf numFmtId="164" fontId="5" fillId="0" borderId="23" xfId="0" applyNumberFormat="1" applyFont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7" borderId="11" xfId="0" applyFont="1" applyFill="1" applyBorder="1"/>
    <xf numFmtId="0" fontId="7" fillId="7" borderId="27" xfId="0" applyFont="1" applyFill="1" applyBorder="1"/>
    <xf numFmtId="0" fontId="7" fillId="6" borderId="31" xfId="0" applyFont="1" applyFill="1" applyBorder="1" applyAlignment="1">
      <alignment horizontal="center"/>
    </xf>
    <xf numFmtId="0" fontId="7" fillId="6" borderId="30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right"/>
    </xf>
    <xf numFmtId="164" fontId="10" fillId="4" borderId="2" xfId="0" applyNumberFormat="1" applyFont="1" applyFill="1" applyBorder="1" applyAlignment="1">
      <alignment horizontal="right"/>
    </xf>
    <xf numFmtId="164" fontId="10" fillId="4" borderId="3" xfId="0" applyNumberFormat="1" applyFont="1" applyFill="1" applyBorder="1" applyAlignment="1">
      <alignment horizontal="right"/>
    </xf>
    <xf numFmtId="164" fontId="10" fillId="4" borderId="3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horizontal="left"/>
    </xf>
    <xf numFmtId="0" fontId="6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0" borderId="4" xfId="0" applyFont="1" applyBorder="1" applyAlignment="1">
      <alignment horizontal="center"/>
    </xf>
    <xf numFmtId="164" fontId="10" fillId="0" borderId="0" xfId="0" applyNumberFormat="1" applyFont="1" applyAlignment="1">
      <alignment horizontal="right"/>
    </xf>
    <xf numFmtId="164" fontId="11" fillId="0" borderId="7" xfId="0" applyNumberFormat="1" applyFont="1" applyBorder="1" applyAlignment="1">
      <alignment horizontal="right"/>
    </xf>
    <xf numFmtId="164" fontId="1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center"/>
    </xf>
    <xf numFmtId="0" fontId="11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right"/>
    </xf>
    <xf numFmtId="164" fontId="11" fillId="0" borderId="11" xfId="0" applyNumberFormat="1" applyFont="1" applyBorder="1" applyAlignment="1">
      <alignment horizontal="right"/>
    </xf>
    <xf numFmtId="164" fontId="11" fillId="0" borderId="11" xfId="0" applyNumberFormat="1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164" fontId="12" fillId="2" borderId="7" xfId="3" applyNumberFormat="1" applyFont="1" applyBorder="1" applyAlignment="1">
      <alignment horizontal="right"/>
    </xf>
    <xf numFmtId="0" fontId="10" fillId="0" borderId="8" xfId="0" applyFont="1" applyBorder="1" applyAlignment="1">
      <alignment horizontal="left"/>
    </xf>
    <xf numFmtId="0" fontId="5" fillId="8" borderId="0" xfId="0" applyFont="1" applyFill="1"/>
    <xf numFmtId="0" fontId="13" fillId="0" borderId="0" xfId="0" applyFont="1"/>
    <xf numFmtId="164" fontId="12" fillId="0" borderId="0" xfId="3" applyNumberFormat="1" applyFont="1" applyFill="1" applyBorder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8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5" fillId="9" borderId="0" xfId="0" applyFont="1" applyFill="1"/>
    <xf numFmtId="0" fontId="7" fillId="4" borderId="1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0" borderId="4" xfId="0" applyFont="1" applyBorder="1"/>
    <xf numFmtId="3" fontId="5" fillId="9" borderId="0" xfId="0" applyNumberFormat="1" applyFont="1" applyFill="1"/>
    <xf numFmtId="3" fontId="5" fillId="0" borderId="1" xfId="0" applyNumberFormat="1" applyFont="1" applyBorder="1"/>
    <xf numFmtId="0" fontId="7" fillId="0" borderId="17" xfId="0" applyFont="1" applyBorder="1"/>
    <xf numFmtId="164" fontId="11" fillId="0" borderId="6" xfId="0" applyNumberFormat="1" applyFont="1" applyBorder="1" applyAlignment="1">
      <alignment horizontal="right"/>
    </xf>
    <xf numFmtId="43" fontId="5" fillId="0" borderId="0" xfId="1" applyFont="1"/>
    <xf numFmtId="166" fontId="5" fillId="0" borderId="0" xfId="0" applyNumberFormat="1" applyFont="1" applyAlignment="1">
      <alignment wrapText="1"/>
    </xf>
    <xf numFmtId="164" fontId="11" fillId="0" borderId="16" xfId="0" applyNumberFormat="1" applyFont="1" applyBorder="1" applyAlignment="1">
      <alignment horizontal="right"/>
    </xf>
    <xf numFmtId="0" fontId="15" fillId="0" borderId="17" xfId="0" applyFont="1" applyBorder="1" applyAlignment="1">
      <alignment horizontal="left"/>
    </xf>
    <xf numFmtId="3" fontId="5" fillId="10" borderId="29" xfId="0" applyNumberFormat="1" applyFont="1" applyFill="1" applyBorder="1"/>
    <xf numFmtId="0" fontId="7" fillId="0" borderId="30" xfId="0" applyFont="1" applyBorder="1"/>
    <xf numFmtId="0" fontId="6" fillId="9" borderId="0" xfId="0" applyFont="1" applyFill="1"/>
    <xf numFmtId="3" fontId="5" fillId="0" borderId="0" xfId="0" applyNumberFormat="1" applyFont="1"/>
    <xf numFmtId="0" fontId="7" fillId="4" borderId="21" xfId="0" applyFont="1" applyFill="1" applyBorder="1" applyAlignment="1">
      <alignment horizontal="right"/>
    </xf>
    <xf numFmtId="3" fontId="7" fillId="4" borderId="32" xfId="0" applyNumberFormat="1" applyFont="1" applyFill="1" applyBorder="1" applyAlignment="1">
      <alignment horizontal="right"/>
    </xf>
    <xf numFmtId="0" fontId="7" fillId="4" borderId="32" xfId="0" applyFont="1" applyFill="1" applyBorder="1" applyAlignment="1">
      <alignment horizontal="right"/>
    </xf>
    <xf numFmtId="0" fontId="7" fillId="4" borderId="33" xfId="0" applyFont="1" applyFill="1" applyBorder="1" applyAlignment="1">
      <alignment horizontal="right"/>
    </xf>
    <xf numFmtId="3" fontId="11" fillId="0" borderId="0" xfId="0" applyNumberFormat="1" applyFont="1" applyAlignment="1">
      <alignment horizontal="right"/>
    </xf>
    <xf numFmtId="0" fontId="16" fillId="0" borderId="8" xfId="0" applyFont="1" applyBorder="1" applyAlignment="1">
      <alignment horizontal="left"/>
    </xf>
    <xf numFmtId="3" fontId="5" fillId="0" borderId="23" xfId="0" applyNumberFormat="1" applyFont="1" applyBorder="1" applyAlignment="1">
      <alignment horizontal="right"/>
    </xf>
    <xf numFmtId="3" fontId="7" fillId="0" borderId="23" xfId="0" applyNumberFormat="1" applyFont="1" applyBorder="1" applyAlignment="1">
      <alignment horizontal="right"/>
    </xf>
    <xf numFmtId="0" fontId="7" fillId="0" borderId="23" xfId="0" applyFont="1" applyBorder="1" applyAlignment="1">
      <alignment horizontal="center"/>
    </xf>
    <xf numFmtId="3" fontId="5" fillId="0" borderId="31" xfId="0" applyNumberFormat="1" applyFont="1" applyBorder="1" applyAlignment="1">
      <alignment horizontal="right"/>
    </xf>
    <xf numFmtId="3" fontId="7" fillId="0" borderId="31" xfId="0" applyNumberFormat="1" applyFont="1" applyBorder="1" applyAlignment="1">
      <alignment horizontal="right"/>
    </xf>
    <xf numFmtId="0" fontId="7" fillId="0" borderId="31" xfId="0" applyFont="1" applyBorder="1" applyAlignment="1">
      <alignment horizontal="center"/>
    </xf>
    <xf numFmtId="164" fontId="11" fillId="0" borderId="18" xfId="0" applyNumberFormat="1" applyFont="1" applyBorder="1" applyAlignment="1">
      <alignment horizontal="right"/>
    </xf>
    <xf numFmtId="0" fontId="15" fillId="0" borderId="20" xfId="0" applyFont="1" applyBorder="1" applyAlignment="1">
      <alignment horizontal="left"/>
    </xf>
    <xf numFmtId="164" fontId="10" fillId="0" borderId="34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10" fillId="0" borderId="3" xfId="0" applyNumberFormat="1" applyFont="1" applyBorder="1" applyAlignment="1">
      <alignment horizontal="right"/>
    </xf>
    <xf numFmtId="164" fontId="10" fillId="0" borderId="3" xfId="0" applyNumberFormat="1" applyFont="1" applyBorder="1" applyAlignment="1">
      <alignment horizontal="center"/>
    </xf>
    <xf numFmtId="164" fontId="10" fillId="0" borderId="28" xfId="0" applyNumberFormat="1" applyFont="1" applyBorder="1" applyAlignment="1">
      <alignment horizontal="right"/>
    </xf>
    <xf numFmtId="0" fontId="10" fillId="0" borderId="28" xfId="0" applyFont="1" applyBorder="1" applyAlignment="1">
      <alignment horizontal="left"/>
    </xf>
    <xf numFmtId="164" fontId="7" fillId="8" borderId="3" xfId="0" applyNumberFormat="1" applyFont="1" applyFill="1" applyBorder="1" applyAlignment="1">
      <alignment horizontal="right"/>
    </xf>
    <xf numFmtId="164" fontId="2" fillId="2" borderId="8" xfId="3" applyNumberFormat="1" applyBorder="1" applyAlignment="1">
      <alignment horizontal="center"/>
    </xf>
    <xf numFmtId="164" fontId="11" fillId="0" borderId="35" xfId="0" applyNumberFormat="1" applyFont="1" applyBorder="1" applyAlignment="1">
      <alignment horizontal="right"/>
    </xf>
    <xf numFmtId="164" fontId="11" fillId="0" borderId="0" xfId="0" applyNumberFormat="1" applyFont="1" applyAlignment="1">
      <alignment horizontal="right" wrapText="1"/>
    </xf>
    <xf numFmtId="164" fontId="11" fillId="0" borderId="17" xfId="0" applyNumberFormat="1" applyFont="1" applyBorder="1" applyAlignment="1">
      <alignment horizontal="right"/>
    </xf>
    <xf numFmtId="0" fontId="11" fillId="0" borderId="17" xfId="0" applyFont="1" applyBorder="1" applyAlignment="1">
      <alignment horizontal="left"/>
    </xf>
    <xf numFmtId="164" fontId="5" fillId="8" borderId="0" xfId="0" applyNumberFormat="1" applyFont="1" applyFill="1" applyAlignment="1">
      <alignment horizontal="right"/>
    </xf>
    <xf numFmtId="164" fontId="5" fillId="0" borderId="8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164" fontId="14" fillId="0" borderId="17" xfId="0" applyNumberFormat="1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1" fillId="0" borderId="17" xfId="0" applyFont="1" applyBorder="1" applyAlignment="1">
      <alignment horizontal="right"/>
    </xf>
    <xf numFmtId="164" fontId="5" fillId="8" borderId="16" xfId="0" applyNumberFormat="1" applyFont="1" applyFill="1" applyBorder="1" applyAlignment="1">
      <alignment horizontal="right"/>
    </xf>
    <xf numFmtId="164" fontId="5" fillId="0" borderId="20" xfId="0" applyNumberFormat="1" applyFont="1" applyBorder="1" applyAlignment="1">
      <alignment horizontal="center"/>
    </xf>
    <xf numFmtId="164" fontId="11" fillId="0" borderId="36" xfId="0" applyNumberFormat="1" applyFont="1" applyBorder="1" applyAlignment="1">
      <alignment horizontal="right"/>
    </xf>
    <xf numFmtId="164" fontId="11" fillId="0" borderId="29" xfId="0" applyNumberFormat="1" applyFont="1" applyBorder="1" applyAlignment="1">
      <alignment horizontal="right"/>
    </xf>
    <xf numFmtId="164" fontId="11" fillId="0" borderId="19" xfId="0" applyNumberFormat="1" applyFont="1" applyBorder="1" applyAlignment="1">
      <alignment horizontal="right"/>
    </xf>
    <xf numFmtId="164" fontId="11" fillId="0" borderId="19" xfId="0" applyNumberFormat="1" applyFont="1" applyBorder="1" applyAlignment="1">
      <alignment horizontal="center"/>
    </xf>
    <xf numFmtId="164" fontId="11" fillId="0" borderId="30" xfId="0" applyNumberFormat="1" applyFont="1" applyBorder="1" applyAlignment="1">
      <alignment horizontal="right"/>
    </xf>
    <xf numFmtId="164" fontId="5" fillId="8" borderId="19" xfId="0" applyNumberFormat="1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10" fillId="6" borderId="12" xfId="0" applyFont="1" applyFill="1" applyBorder="1" applyAlignment="1">
      <alignment horizontal="right"/>
    </xf>
    <xf numFmtId="0" fontId="10" fillId="6" borderId="29" xfId="0" applyFont="1" applyFill="1" applyBorder="1" applyAlignment="1">
      <alignment horizontal="right"/>
    </xf>
    <xf numFmtId="0" fontId="10" fillId="6" borderId="19" xfId="0" applyFont="1" applyFill="1" applyBorder="1" applyAlignment="1">
      <alignment horizontal="right"/>
    </xf>
    <xf numFmtId="0" fontId="10" fillId="6" borderId="19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left" vertical="center"/>
    </xf>
    <xf numFmtId="0" fontId="7" fillId="6" borderId="25" xfId="0" applyFont="1" applyFill="1" applyBorder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</cellXfs>
  <cellStyles count="5">
    <cellStyle name="Bad" xfId="4" builtinId="27"/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AE/Plan%20de%20financement%20agence%20imo%20MONAP%20SAE%20Fi%20BUT3.xlsx" TargetMode="External"/><Relationship Id="rId2" Type="http://schemas.openxmlformats.org/officeDocument/2006/relationships/externalLinkPath" Target="https://d.docs.live.net/438B0D8AD050C8F0/Documents/Travail/But%20GEA/3e%20ann&#233;e/SAE/Plan%20de%20financement%20agence%20imo%20MONAP%20SAE%20Fi%20BUT3.xlsx" TargetMode="External"/><Relationship Id="rId1" Type="http://schemas.openxmlformats.org/officeDocument/2006/relationships/externalLinkPath" Target="/438B0D8AD050C8F0/Documents/Travail/But%20GEA/3e%20ann&#233;e/SAE/Plan%20de%20financement%20agence%20imo%20MONAP%20SAE%20Fi%20BU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 des ChPr dossier"/>
      <sheetName val="Tableau des ChPr"/>
      <sheetName val="CDR"/>
      <sheetName val="Graph Partie 2"/>
      <sheetName val="Graph Partie 3"/>
      <sheetName val="SIG"/>
      <sheetName val="Tableau de tréso pr"/>
      <sheetName val="Tableau de tréso pr (2)"/>
      <sheetName val="Emprunt"/>
      <sheetName val="Calcul Free Cash Flow"/>
      <sheetName val="DCF (PER)"/>
      <sheetName val="DCF (sortie standard)"/>
      <sheetName val="Analyse des ratios financiers"/>
      <sheetName val="Plan de financement initial"/>
      <sheetName val="PFI final"/>
      <sheetName val="PFI réaliste"/>
      <sheetName val="Calcul Free Cash Flow V2"/>
      <sheetName val="DCF (PER) V2"/>
      <sheetName val="PFI réaliste 2"/>
      <sheetName val="Sources"/>
    </sheetNames>
    <sheetDataSet>
      <sheetData sheetId="0" refreshError="1"/>
      <sheetData sheetId="1">
        <row r="7">
          <cell r="E7">
            <v>60000</v>
          </cell>
        </row>
        <row r="8">
          <cell r="E8">
            <v>80000</v>
          </cell>
        </row>
        <row r="9">
          <cell r="E9">
            <v>30000</v>
          </cell>
        </row>
        <row r="10">
          <cell r="E10">
            <v>35000</v>
          </cell>
        </row>
        <row r="12">
          <cell r="H12">
            <v>16500</v>
          </cell>
        </row>
        <row r="13">
          <cell r="H13">
            <v>6200</v>
          </cell>
        </row>
        <row r="19">
          <cell r="H19">
            <v>12200</v>
          </cell>
        </row>
        <row r="23">
          <cell r="H23">
            <v>7100</v>
          </cell>
        </row>
        <row r="27">
          <cell r="H27">
            <v>6500</v>
          </cell>
        </row>
        <row r="28">
          <cell r="H28">
            <v>14000</v>
          </cell>
        </row>
        <row r="32">
          <cell r="H32">
            <v>40000</v>
          </cell>
        </row>
        <row r="35">
          <cell r="H35">
            <v>3500</v>
          </cell>
        </row>
        <row r="38">
          <cell r="H38">
            <v>6800</v>
          </cell>
        </row>
        <row r="39">
          <cell r="H39">
            <v>3000</v>
          </cell>
        </row>
      </sheetData>
      <sheetData sheetId="2">
        <row r="7">
          <cell r="D7">
            <v>704500</v>
          </cell>
          <cell r="E7">
            <v>739725</v>
          </cell>
          <cell r="F7">
            <v>761916.75</v>
          </cell>
          <cell r="G7">
            <v>784774.25250000006</v>
          </cell>
        </row>
        <row r="8">
          <cell r="E8">
            <v>739725</v>
          </cell>
          <cell r="F8">
            <v>761916.75</v>
          </cell>
          <cell r="G8">
            <v>784774.25250000006</v>
          </cell>
        </row>
        <row r="14">
          <cell r="D14">
            <v>704500</v>
          </cell>
          <cell r="E14">
            <v>739725</v>
          </cell>
        </row>
        <row r="21">
          <cell r="E21">
            <v>205000</v>
          </cell>
          <cell r="F21">
            <v>215250</v>
          </cell>
          <cell r="G21">
            <v>226012.5</v>
          </cell>
        </row>
        <row r="23">
          <cell r="D23">
            <v>102500</v>
          </cell>
          <cell r="E23">
            <v>102500</v>
          </cell>
          <cell r="F23">
            <v>107625</v>
          </cell>
          <cell r="G23">
            <v>118387.50000000001</v>
          </cell>
        </row>
        <row r="49">
          <cell r="D49">
            <v>62718.75</v>
          </cell>
          <cell r="E49">
            <v>70091.767445081845</v>
          </cell>
          <cell r="F49">
            <v>71472.220762417783</v>
          </cell>
        </row>
      </sheetData>
      <sheetData sheetId="3" refreshError="1"/>
      <sheetData sheetId="4" refreshError="1"/>
      <sheetData sheetId="5">
        <row r="9">
          <cell r="D9">
            <v>704500</v>
          </cell>
        </row>
        <row r="19">
          <cell r="D19">
            <v>1575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C10">
            <v>10000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rle Kama" id="{633A705E-BFEE-4BEB-873D-BE6BB1C528A8}" userId="18e15787081038d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5-11-10T16:34:23.33" personId="{633A705E-BFEE-4BEB-873D-BE6BB1C528A8}" id="{61FF543F-590A-4DB4-8E69-4828348C9E75}">
    <text xml:space="preserve">On est pas obligé de se payer un salaire des le debut d’âpre le prof </text>
  </threadedComment>
  <threadedComment ref="C54" dT="2025-11-10T16:34:23.33" personId="{633A705E-BFEE-4BEB-873D-BE6BB1C528A8}" id="{5AFD6A6C-D9D9-4DE2-99AA-D1D93B8DF4BD}">
    <text xml:space="preserve">On est pas obligé de se payer un salaire des le debut d’âpre le prof </text>
  </threadedComment>
  <threadedComment ref="C74" dT="2025-11-10T16:34:23.33" personId="{633A705E-BFEE-4BEB-873D-BE6BB1C528A8}" id="{86D9F417-154A-4E85-8616-9D4B04D47CFF}">
    <text xml:space="preserve">On est pas obligé de se payer un salaire des le debut d’âpre le prof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B67D-BF39-4884-B9BF-CAD185854010}">
  <sheetPr>
    <tabColor theme="3" tint="0.749992370372631"/>
    <pageSetUpPr fitToPage="1"/>
  </sheetPr>
  <dimension ref="B2:AL139"/>
  <sheetViews>
    <sheetView showGridLines="0" tabSelected="1" topLeftCell="A2" zoomScale="55" zoomScaleNormal="55" workbookViewId="0">
      <selection activeCell="P13" sqref="P13"/>
    </sheetView>
  </sheetViews>
  <sheetFormatPr defaultColWidth="10.86328125" defaultRowHeight="14.25" x14ac:dyDescent="0.45"/>
  <cols>
    <col min="1" max="1" width="10.86328125" style="1"/>
    <col min="2" max="2" width="44.86328125" style="4" customWidth="1"/>
    <col min="3" max="3" width="13.73046875" style="3" bestFit="1" customWidth="1"/>
    <col min="4" max="4" width="12" style="3" bestFit="1" customWidth="1"/>
    <col min="5" max="8" width="11.265625" style="3" bestFit="1" customWidth="1"/>
    <col min="9" max="9" width="10.73046875" style="3" bestFit="1" customWidth="1"/>
    <col min="10" max="10" width="10.73046875" style="2" bestFit="1" customWidth="1"/>
    <col min="11" max="11" width="13" style="3" bestFit="1" customWidth="1"/>
    <col min="12" max="12" width="12" style="3" bestFit="1" customWidth="1"/>
    <col min="13" max="13" width="14.73046875" style="3" bestFit="1" customWidth="1"/>
    <col min="14" max="14" width="14" style="3" bestFit="1" customWidth="1"/>
    <col min="15" max="15" width="16.265625" style="2" bestFit="1" customWidth="1"/>
    <col min="16" max="16" width="16.265625" style="2" customWidth="1"/>
    <col min="17" max="17" width="10" style="2" bestFit="1" customWidth="1"/>
    <col min="18" max="18" width="10.86328125" style="1"/>
    <col min="19" max="19" width="23" style="1" customWidth="1"/>
    <col min="20" max="20" width="15.86328125" style="1" customWidth="1"/>
    <col min="21" max="21" width="9.86328125" style="1" bestFit="1" customWidth="1"/>
    <col min="22" max="22" width="15.1328125" style="1" customWidth="1"/>
    <col min="23" max="23" width="13.86328125" style="1" customWidth="1"/>
    <col min="24" max="24" width="12.73046875" style="1" customWidth="1"/>
    <col min="25" max="27" width="0" style="1" hidden="1" customWidth="1"/>
    <col min="28" max="29" width="15" style="1" hidden="1" customWidth="1"/>
    <col min="30" max="30" width="29.1328125" style="1" hidden="1" customWidth="1"/>
    <col min="31" max="31" width="13.73046875" style="1" hidden="1" customWidth="1"/>
    <col min="32" max="32" width="14.1328125" style="1" hidden="1" customWidth="1"/>
    <col min="33" max="33" width="15.265625" style="1" hidden="1" customWidth="1"/>
    <col min="34" max="35" width="14" style="1" hidden="1" customWidth="1"/>
    <col min="36" max="41" width="0" style="1" hidden="1" customWidth="1"/>
    <col min="42" max="16384" width="10.86328125" style="1"/>
  </cols>
  <sheetData>
    <row r="2" spans="2:35" ht="30.75" x14ac:dyDescent="0.9">
      <c r="B2" s="175" t="s">
        <v>83</v>
      </c>
      <c r="S2" s="174" t="s">
        <v>82</v>
      </c>
    </row>
    <row r="3" spans="2:35" ht="30.75" x14ac:dyDescent="0.9">
      <c r="S3" s="174"/>
    </row>
    <row r="4" spans="2:35" ht="23.25" customHeight="1" x14ac:dyDescent="0.45">
      <c r="AD4" s="173" t="s">
        <v>81</v>
      </c>
      <c r="AE4" s="56" t="s">
        <v>41</v>
      </c>
      <c r="AF4" s="55" t="s">
        <v>40</v>
      </c>
      <c r="AG4" s="55" t="s">
        <v>39</v>
      </c>
      <c r="AH4" s="55" t="s">
        <v>38</v>
      </c>
      <c r="AI4" s="54" t="s">
        <v>37</v>
      </c>
    </row>
    <row r="5" spans="2:35" ht="18" x14ac:dyDescent="0.55000000000000004">
      <c r="B5" s="172" t="s">
        <v>81</v>
      </c>
      <c r="C5" s="170" t="s">
        <v>35</v>
      </c>
      <c r="D5" s="170" t="s">
        <v>34</v>
      </c>
      <c r="E5" s="170" t="s">
        <v>33</v>
      </c>
      <c r="F5" s="170" t="s">
        <v>32</v>
      </c>
      <c r="G5" s="170" t="s">
        <v>80</v>
      </c>
      <c r="H5" s="170" t="s">
        <v>30</v>
      </c>
      <c r="I5" s="170" t="s">
        <v>29</v>
      </c>
      <c r="J5" s="171" t="s">
        <v>28</v>
      </c>
      <c r="K5" s="170" t="s">
        <v>27</v>
      </c>
      <c r="L5" s="170" t="s">
        <v>26</v>
      </c>
      <c r="M5" s="170" t="s">
        <v>79</v>
      </c>
      <c r="N5" s="169" t="s">
        <v>24</v>
      </c>
      <c r="O5" s="168" t="s">
        <v>23</v>
      </c>
      <c r="P5" s="167"/>
      <c r="Q5" s="166" t="s">
        <v>22</v>
      </c>
      <c r="S5" s="165" t="s">
        <v>78</v>
      </c>
      <c r="T5" s="80" t="s">
        <v>77</v>
      </c>
      <c r="U5" s="80" t="s">
        <v>76</v>
      </c>
      <c r="V5" s="80" t="s">
        <v>75</v>
      </c>
      <c r="W5" s="80" t="s">
        <v>74</v>
      </c>
      <c r="X5" s="80" t="s">
        <v>73</v>
      </c>
      <c r="AD5" s="17" t="s">
        <v>21</v>
      </c>
      <c r="AE5" s="164">
        <f>SUM(C6:E6)</f>
        <v>0</v>
      </c>
      <c r="AF5" s="39"/>
      <c r="AG5" s="39"/>
      <c r="AH5" s="61"/>
      <c r="AI5" s="61"/>
    </row>
    <row r="6" spans="2:35" ht="26.25" customHeight="1" x14ac:dyDescent="0.55000000000000004">
      <c r="B6" s="150" t="s">
        <v>21</v>
      </c>
      <c r="C6" s="163"/>
      <c r="D6" s="161"/>
      <c r="E6" s="161"/>
      <c r="F6" s="161"/>
      <c r="G6" s="161"/>
      <c r="H6" s="161"/>
      <c r="I6" s="161"/>
      <c r="J6" s="162"/>
      <c r="K6" s="161"/>
      <c r="L6" s="161"/>
      <c r="M6" s="161"/>
      <c r="N6" s="160"/>
      <c r="O6" s="159"/>
      <c r="P6" s="93"/>
      <c r="Q6" s="158">
        <f>SUM(F7:N7)+SUM(C28:E28)</f>
        <v>704500</v>
      </c>
      <c r="S6" s="136">
        <v>2026</v>
      </c>
      <c r="T6" s="134">
        <f>U16</f>
        <v>575000</v>
      </c>
      <c r="U6" s="134">
        <f>T6*U17</f>
        <v>28750</v>
      </c>
      <c r="V6" s="134">
        <f>IFERROR(IF($T$19="annuité constante",W6-U6,$T$6/$U$18),"")</f>
        <v>70621.395606548147</v>
      </c>
      <c r="W6" s="135">
        <f>IF(T19="annuité constante",T6*(U17/(1-(1+U17)^-U18)),U6+V6)</f>
        <v>99371.395606548147</v>
      </c>
      <c r="X6" s="134">
        <f>T6-V6</f>
        <v>504378.60439345182</v>
      </c>
      <c r="AD6" s="46" t="s">
        <v>20</v>
      </c>
      <c r="AE6" s="157">
        <f>SUM(C7:E7)</f>
        <v>0</v>
      </c>
      <c r="AF6" s="16">
        <f>F7+G7+H7</f>
        <v>112720</v>
      </c>
      <c r="AG6" s="16">
        <f>I7+J7+K7</f>
        <v>239530</v>
      </c>
      <c r="AH6" s="63">
        <f>L7+M7+N7</f>
        <v>197260</v>
      </c>
      <c r="AI6" s="63">
        <f>AF6+AG6+AH6</f>
        <v>549510</v>
      </c>
    </row>
    <row r="7" spans="2:35" ht="24.75" customHeight="1" x14ac:dyDescent="0.55000000000000004">
      <c r="B7" s="150" t="s">
        <v>20</v>
      </c>
      <c r="C7" s="156"/>
      <c r="D7" s="153"/>
      <c r="E7" s="153"/>
      <c r="F7" s="93">
        <f>[1]SIG!D9*0.03</f>
        <v>21135</v>
      </c>
      <c r="G7" s="93">
        <f>[1]SIG!D9*U28</f>
        <v>21135</v>
      </c>
      <c r="H7" s="93">
        <f>[1]SIG!D9*0.1</f>
        <v>70450</v>
      </c>
      <c r="I7" s="93">
        <f>[1]SIG!D9*0.11</f>
        <v>77495</v>
      </c>
      <c r="J7" s="94">
        <f>[1]SIG!D9*0.11</f>
        <v>77495</v>
      </c>
      <c r="K7" s="93">
        <f>[1]SIG!D9*0.12</f>
        <v>84540</v>
      </c>
      <c r="L7" s="93">
        <f>[1]CDR!$D14*U33</f>
        <v>84540</v>
      </c>
      <c r="M7" s="93">
        <f>[1]CDR!$D14*U34</f>
        <v>35225</v>
      </c>
      <c r="N7" s="116">
        <f>[1]CDR!$D14*U35</f>
        <v>77495</v>
      </c>
      <c r="O7" s="147">
        <f>SUM(C7:K7)</f>
        <v>352250</v>
      </c>
      <c r="P7" s="93"/>
      <c r="Q7" s="152">
        <f>[1]CDR!D7</f>
        <v>704500</v>
      </c>
      <c r="S7" s="136">
        <v>2027</v>
      </c>
      <c r="T7" s="134">
        <f>X6</f>
        <v>504378.60439345182</v>
      </c>
      <c r="U7" s="134">
        <f>T7*U17</f>
        <v>25218.930219672591</v>
      </c>
      <c r="V7" s="134">
        <f>IFERROR(IF($T$19="annuité constante",W7-U7,$T$6/$U$18),"")</f>
        <v>74152.465386875556</v>
      </c>
      <c r="W7" s="135">
        <f>IF(T19="annuité constante",T6*(U17/(1-(1+U17)^-U18)),U7+V7)</f>
        <v>99371.395606548147</v>
      </c>
      <c r="X7" s="134">
        <f>T7-V7</f>
        <v>430226.13900657627</v>
      </c>
      <c r="Y7" s="88"/>
      <c r="Z7" s="88"/>
      <c r="AA7" s="88"/>
      <c r="AB7" s="88"/>
      <c r="AC7" s="88"/>
      <c r="AD7" s="17" t="s">
        <v>19</v>
      </c>
      <c r="AE7" s="151">
        <f>SUM(C9:E9)</f>
        <v>0</v>
      </c>
      <c r="AF7" s="44"/>
      <c r="AG7" s="16"/>
      <c r="AH7" s="61"/>
      <c r="AI7" s="61"/>
    </row>
    <row r="8" spans="2:35" ht="24.75" customHeight="1" x14ac:dyDescent="0.55000000000000004">
      <c r="B8" s="155" t="s">
        <v>72</v>
      </c>
      <c r="C8" s="154">
        <v>160000</v>
      </c>
      <c r="D8" s="153"/>
      <c r="E8" s="153"/>
      <c r="F8" s="93"/>
      <c r="G8" s="93"/>
      <c r="H8" s="93"/>
      <c r="I8" s="93"/>
      <c r="J8" s="94"/>
      <c r="K8" s="93"/>
      <c r="L8" s="93"/>
      <c r="M8" s="93"/>
      <c r="N8" s="116"/>
      <c r="O8" s="147"/>
      <c r="P8" s="93"/>
      <c r="Q8" s="152"/>
      <c r="S8" s="136"/>
      <c r="T8" s="134"/>
      <c r="U8" s="134"/>
      <c r="V8" s="134"/>
      <c r="W8" s="135"/>
      <c r="X8" s="134"/>
      <c r="Y8" s="88"/>
      <c r="Z8" s="88"/>
      <c r="AA8" s="88"/>
      <c r="AB8" s="88"/>
      <c r="AC8" s="88"/>
      <c r="AD8" s="17"/>
      <c r="AE8" s="151"/>
      <c r="AF8" s="44"/>
      <c r="AG8" s="16"/>
      <c r="AH8" s="61"/>
      <c r="AI8" s="61"/>
    </row>
    <row r="9" spans="2:35" ht="24" customHeight="1" x14ac:dyDescent="0.55000000000000004">
      <c r="B9" s="150" t="s">
        <v>19</v>
      </c>
      <c r="C9" s="149"/>
      <c r="D9" s="148"/>
      <c r="E9" s="93"/>
      <c r="F9" s="93"/>
      <c r="G9" s="93"/>
      <c r="H9" s="93"/>
      <c r="I9" s="93"/>
      <c r="J9" s="94"/>
      <c r="K9" s="93"/>
      <c r="L9" s="93"/>
      <c r="M9" s="93"/>
      <c r="N9" s="116"/>
      <c r="O9" s="147">
        <f>SUM(C9:N9)</f>
        <v>0</v>
      </c>
      <c r="P9" s="93"/>
      <c r="Q9" s="146">
        <f>Q6-Q7</f>
        <v>0</v>
      </c>
      <c r="S9" s="136">
        <v>2028</v>
      </c>
      <c r="T9" s="134">
        <f>X7</f>
        <v>430226.13900657627</v>
      </c>
      <c r="U9" s="134">
        <f>T9*U17</f>
        <v>21511.306950328813</v>
      </c>
      <c r="V9" s="134">
        <f>IFERROR(IF($T$19="annuité constante",W9-U9,$T$6/$U$18),"")</f>
        <v>77860.088656219334</v>
      </c>
      <c r="W9" s="135">
        <f>IF(T19="annuité constante",T6*(U17/(1-(1+U17)^-U18)),U9+V9)</f>
        <v>99371.395606548147</v>
      </c>
      <c r="X9" s="134">
        <f>T9-V9</f>
        <v>352366.05035035696</v>
      </c>
      <c r="AD9" s="29" t="s">
        <v>18</v>
      </c>
      <c r="AE9" s="145">
        <f>SUM(AE5:AE7)</f>
        <v>0</v>
      </c>
      <c r="AF9" s="27">
        <f>SUM(AF5:AF7)</f>
        <v>112720</v>
      </c>
      <c r="AG9" s="27">
        <f>SUM(AG5:AG7)</f>
        <v>239530</v>
      </c>
      <c r="AH9" s="42">
        <f>SUM(AH5:AH7)</f>
        <v>197260</v>
      </c>
      <c r="AI9" s="42">
        <f>AI6</f>
        <v>549510</v>
      </c>
    </row>
    <row r="10" spans="2:35" ht="24" customHeight="1" x14ac:dyDescent="0.55000000000000004">
      <c r="B10" s="144" t="s">
        <v>18</v>
      </c>
      <c r="C10" s="143">
        <f>SUM(C6:C9)</f>
        <v>160000</v>
      </c>
      <c r="D10" s="141">
        <f>SUM(D6:D9)</f>
        <v>0</v>
      </c>
      <c r="E10" s="141">
        <f>SUM(E6:E9)</f>
        <v>0</v>
      </c>
      <c r="F10" s="141">
        <f>SUM(F6:F9)</f>
        <v>21135</v>
      </c>
      <c r="G10" s="141">
        <f>SUM(G6:G9)</f>
        <v>21135</v>
      </c>
      <c r="H10" s="141">
        <f>SUM(H6:H9)</f>
        <v>70450</v>
      </c>
      <c r="I10" s="141">
        <f>SUM(I6:I9)</f>
        <v>77495</v>
      </c>
      <c r="J10" s="142">
        <f>SUM(J6:J9)</f>
        <v>77495</v>
      </c>
      <c r="K10" s="141">
        <f>SUM(K6:K9)</f>
        <v>84540</v>
      </c>
      <c r="L10" s="141">
        <f>SUM(L6:L9)</f>
        <v>84540</v>
      </c>
      <c r="M10" s="141">
        <f>SUM(M6:M9)</f>
        <v>35225</v>
      </c>
      <c r="N10" s="140">
        <f>SUM(N6:N9)</f>
        <v>77495</v>
      </c>
      <c r="O10" s="139">
        <f>SUM(C10:N10)</f>
        <v>709510</v>
      </c>
      <c r="P10" s="91"/>
      <c r="Q10" s="96"/>
      <c r="R10" s="88">
        <f>O10+C28+D28+E28</f>
        <v>864500</v>
      </c>
      <c r="S10" s="136">
        <v>2029</v>
      </c>
      <c r="T10" s="134">
        <f>X9</f>
        <v>352366.05035035696</v>
      </c>
      <c r="U10" s="134">
        <f>T10*U17</f>
        <v>17618.302517517848</v>
      </c>
      <c r="V10" s="134">
        <f>IFERROR(IF($T$19="annuité constante",W10-U10,$T$6/$U$18),"")</f>
        <v>81753.093089030299</v>
      </c>
      <c r="W10" s="135">
        <f>IF(T19="annuité constante",T6*(U17/(1-(1+U17)^-U18)),U10+V10)</f>
        <v>99371.395606548147</v>
      </c>
      <c r="X10" s="134">
        <f>T10-V10</f>
        <v>270612.95726132666</v>
      </c>
      <c r="AD10" s="41" t="s">
        <v>17</v>
      </c>
      <c r="AE10" s="39"/>
      <c r="AF10" s="39"/>
      <c r="AG10" s="39"/>
      <c r="AH10" s="61"/>
      <c r="AI10" s="61"/>
    </row>
    <row r="11" spans="2:35" ht="27" customHeight="1" x14ac:dyDescent="0.55000000000000004">
      <c r="B11" s="138" t="s">
        <v>17</v>
      </c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116"/>
      <c r="O11" s="137">
        <f>SUM(C11:N11)</f>
        <v>0</v>
      </c>
      <c r="P11" s="93"/>
      <c r="Q11" s="96"/>
      <c r="S11" s="136">
        <v>2030</v>
      </c>
      <c r="T11" s="134">
        <f>X10</f>
        <v>270612.95726132666</v>
      </c>
      <c r="U11" s="134">
        <f>T11*U17</f>
        <v>13530.647863066333</v>
      </c>
      <c r="V11" s="134">
        <f>IFERROR(IF($T$19="annuité constante",W11-U11,$T$6/$U$18),"")</f>
        <v>85840.747743481814</v>
      </c>
      <c r="W11" s="135">
        <f>IF(T19="annuité constante",T6*(U17/(1-(1+U17)^-U18)),U11+V11)</f>
        <v>99371.395606548147</v>
      </c>
      <c r="X11" s="134">
        <f>T11-V11</f>
        <v>184772.20951784484</v>
      </c>
      <c r="Y11" s="117"/>
      <c r="AD11" s="34" t="s">
        <v>16</v>
      </c>
      <c r="AE11" s="16"/>
      <c r="AF11" s="16"/>
      <c r="AG11" s="16"/>
      <c r="AH11" s="61"/>
      <c r="AI11" s="61"/>
    </row>
    <row r="12" spans="2:35" ht="23.25" customHeight="1" x14ac:dyDescent="0.55000000000000004">
      <c r="B12" s="108" t="s">
        <v>16</v>
      </c>
      <c r="C12" s="93"/>
      <c r="D12" s="93"/>
      <c r="E12" s="93"/>
      <c r="F12" s="93"/>
      <c r="G12" s="93"/>
      <c r="H12" s="93"/>
      <c r="I12" s="93"/>
      <c r="J12" s="94"/>
      <c r="K12" s="93"/>
      <c r="L12" s="93"/>
      <c r="M12" s="93"/>
      <c r="N12" s="93"/>
      <c r="O12" s="92"/>
      <c r="P12" s="93"/>
      <c r="Q12" s="96"/>
      <c r="S12" s="136">
        <v>2031</v>
      </c>
      <c r="T12" s="134">
        <f>X11</f>
        <v>184772.20951784484</v>
      </c>
      <c r="U12" s="134">
        <f>T12*U17</f>
        <v>9238.6104758922429</v>
      </c>
      <c r="V12" s="134">
        <f>IFERROR(IF($T$19="annuité constante",W12-U12,$T$6/$U$18),"")</f>
        <v>90132.785130655902</v>
      </c>
      <c r="W12" s="135">
        <f>IF(T19="annuité constante",T6*(U17/(1-(1+U17)^-U18)),U12+V12)</f>
        <v>99371.395606548147</v>
      </c>
      <c r="X12" s="134">
        <f>T12-V12</f>
        <v>94639.424387188934</v>
      </c>
      <c r="Y12" s="117"/>
      <c r="AD12" s="34" t="s">
        <v>15</v>
      </c>
      <c r="AE12" s="16">
        <f>SUM(C13:E13)</f>
        <v>51250</v>
      </c>
      <c r="AF12" s="16">
        <f>SUM(F13:H13)</f>
        <v>51250</v>
      </c>
      <c r="AG12" s="16">
        <f>SUM(I13:K13)</f>
        <v>51250</v>
      </c>
      <c r="AH12" s="63">
        <f>SUM(L13:N13)</f>
        <v>51250</v>
      </c>
      <c r="AI12" s="63">
        <f>AF12+AG12+AH12+AE12</f>
        <v>205000</v>
      </c>
    </row>
    <row r="13" spans="2:35" ht="23.25" customHeight="1" x14ac:dyDescent="0.55000000000000004">
      <c r="B13" s="108" t="s">
        <v>15</v>
      </c>
      <c r="C13" s="93">
        <f>(SUM('[1]Tableau des ChPr'!E7:E10))/12</f>
        <v>17083.333333333332</v>
      </c>
      <c r="D13" s="93">
        <f>(SUM('[1]Tableau des ChPr'!E7:E10))/12</f>
        <v>17083.333333333332</v>
      </c>
      <c r="E13" s="93">
        <f>(SUM('[1]Tableau des ChPr'!E7:E10))/12</f>
        <v>17083.333333333332</v>
      </c>
      <c r="F13" s="93">
        <f>(SUM('[1]Tableau des ChPr'!E7:E10))/12</f>
        <v>17083.333333333332</v>
      </c>
      <c r="G13" s="93">
        <f>(SUM('[1]Tableau des ChPr'!E7:E10))/12</f>
        <v>17083.333333333332</v>
      </c>
      <c r="H13" s="93">
        <f>(SUM('[1]Tableau des ChPr'!E7:E10))/12</f>
        <v>17083.333333333332</v>
      </c>
      <c r="I13" s="93">
        <f>(SUM('[1]Tableau des ChPr'!E7:E10))/12</f>
        <v>17083.333333333332</v>
      </c>
      <c r="J13" s="94">
        <f>(SUM('[1]Tableau des ChPr'!E7:E10))/12</f>
        <v>17083.333333333332</v>
      </c>
      <c r="K13" s="93">
        <f>(SUM('[1]Tableau des ChPr'!E7:E10))/12</f>
        <v>17083.333333333332</v>
      </c>
      <c r="L13" s="93">
        <f>(SUM('[1]Tableau des ChPr'!E7:E10))/12</f>
        <v>17083.333333333332</v>
      </c>
      <c r="M13" s="93">
        <f>(SUM('[1]Tableau des ChPr'!E7:E10))/12</f>
        <v>17083.333333333332</v>
      </c>
      <c r="N13" s="93">
        <f>(SUM('[1]Tableau des ChPr'!E7:E10))/12</f>
        <v>17083.333333333332</v>
      </c>
      <c r="O13" s="92">
        <f>SUM(C13:N13)</f>
        <v>205000.00000000003</v>
      </c>
      <c r="P13" s="93"/>
      <c r="Q13" s="96"/>
      <c r="S13" s="133">
        <v>2032</v>
      </c>
      <c r="T13" s="131">
        <f>X12</f>
        <v>94639.424387188934</v>
      </c>
      <c r="U13" s="131">
        <f>T13*U17</f>
        <v>4731.9712193594469</v>
      </c>
      <c r="V13" s="131">
        <f>IFERROR(IF($T$19="annuité constante",W13-U13,$T$6/$U$18),"")</f>
        <v>94639.424387188701</v>
      </c>
      <c r="W13" s="132">
        <f>IF(T19="annuité constante",T6*(U17/(1-(1+U17)^-U18)),U13+V13)</f>
        <v>99371.395606548147</v>
      </c>
      <c r="X13" s="131">
        <f>T13-V13</f>
        <v>2.3283064365386963E-10</v>
      </c>
      <c r="Y13" s="117"/>
      <c r="AD13" s="37" t="s">
        <v>14</v>
      </c>
      <c r="AE13" s="16">
        <f>SUM(C14:E14)</f>
        <v>25625</v>
      </c>
      <c r="AF13" s="16">
        <f>SUM(F14:H14)</f>
        <v>25625</v>
      </c>
      <c r="AG13" s="16">
        <f>SUM(I14:K14)</f>
        <v>25625</v>
      </c>
      <c r="AH13" s="63">
        <f>SUM(L14:N14)</f>
        <v>25625</v>
      </c>
      <c r="AI13" s="63">
        <f>AF13+AG13+AH13+AE13</f>
        <v>102500</v>
      </c>
    </row>
    <row r="14" spans="2:35" ht="18" x14ac:dyDescent="0.55000000000000004">
      <c r="B14" s="130" t="s">
        <v>14</v>
      </c>
      <c r="C14" s="93">
        <f>[1]CDR!$D23/12</f>
        <v>8541.6666666666661</v>
      </c>
      <c r="D14" s="93">
        <f>[1]CDR!$D23/12</f>
        <v>8541.6666666666661</v>
      </c>
      <c r="E14" s="93">
        <f>[1]CDR!$D23/12</f>
        <v>8541.6666666666661</v>
      </c>
      <c r="F14" s="93">
        <f>[1]CDR!$D23/12</f>
        <v>8541.6666666666661</v>
      </c>
      <c r="G14" s="93">
        <f>[1]CDR!$D23/12</f>
        <v>8541.6666666666661</v>
      </c>
      <c r="H14" s="93">
        <f>[1]CDR!$D23/12</f>
        <v>8541.6666666666661</v>
      </c>
      <c r="I14" s="93">
        <f>[1]CDR!$D23/12</f>
        <v>8541.6666666666661</v>
      </c>
      <c r="J14" s="94">
        <f>[1]CDR!$D23/12</f>
        <v>8541.6666666666661</v>
      </c>
      <c r="K14" s="93">
        <f>[1]CDR!$D23/12</f>
        <v>8541.6666666666661</v>
      </c>
      <c r="L14" s="93">
        <f>[1]CDR!$D23/12</f>
        <v>8541.6666666666661</v>
      </c>
      <c r="M14" s="93">
        <f>[1]CDR!$D23/12</f>
        <v>8541.6666666666661</v>
      </c>
      <c r="N14" s="129">
        <f>[1]CDR!$D23/12</f>
        <v>8541.6666666666661</v>
      </c>
      <c r="O14" s="92">
        <f>SUM(C14:N14)</f>
        <v>102500.00000000001</v>
      </c>
      <c r="P14" s="93"/>
      <c r="Q14" s="96"/>
      <c r="S14" s="128" t="s">
        <v>71</v>
      </c>
      <c r="T14" s="127"/>
      <c r="U14" s="126">
        <f>SUM(U6:U13)</f>
        <v>120599.76924583728</v>
      </c>
      <c r="V14" s="126">
        <f>SUM(V6:V13)</f>
        <v>574999.99999999977</v>
      </c>
      <c r="W14" s="126">
        <f>SUM(W6:W13)</f>
        <v>695599.76924583712</v>
      </c>
      <c r="X14" s="125"/>
      <c r="Y14" s="117"/>
      <c r="AD14" s="34" t="s">
        <v>13</v>
      </c>
      <c r="AE14" s="16">
        <f>SUM(C15:E15)</f>
        <v>4125</v>
      </c>
      <c r="AF14" s="16">
        <f>SUM(F15:H15)</f>
        <v>4125</v>
      </c>
      <c r="AG14" s="16">
        <f>SUM(I15:K15)</f>
        <v>4125</v>
      </c>
      <c r="AH14" s="63">
        <f>SUM(L15:N15)</f>
        <v>4125</v>
      </c>
      <c r="AI14" s="63">
        <f>AF14+AG14+AH14+AE14</f>
        <v>16500</v>
      </c>
    </row>
    <row r="15" spans="2:35" ht="23.25" customHeight="1" x14ac:dyDescent="0.55000000000000004">
      <c r="B15" s="108" t="s">
        <v>13</v>
      </c>
      <c r="C15" s="93">
        <f>'[1]Tableau des ChPr'!$H$12/12</f>
        <v>1375</v>
      </c>
      <c r="D15" s="93">
        <f>'[1]Tableau des ChPr'!$H$12/12</f>
        <v>1375</v>
      </c>
      <c r="E15" s="93">
        <f>'[1]Tableau des ChPr'!$H$12/12</f>
        <v>1375</v>
      </c>
      <c r="F15" s="93">
        <f>'[1]Tableau des ChPr'!$H$12/12</f>
        <v>1375</v>
      </c>
      <c r="G15" s="93">
        <f>'[1]Tableau des ChPr'!$H$12/12</f>
        <v>1375</v>
      </c>
      <c r="H15" s="93">
        <f>'[1]Tableau des ChPr'!$H$12/12</f>
        <v>1375</v>
      </c>
      <c r="I15" s="93">
        <f>'[1]Tableau des ChPr'!$H$12/12</f>
        <v>1375</v>
      </c>
      <c r="J15" s="94">
        <f>'[1]Tableau des ChPr'!$H$12/12</f>
        <v>1375</v>
      </c>
      <c r="K15" s="93">
        <f>'[1]Tableau des ChPr'!$H$12/12</f>
        <v>1375</v>
      </c>
      <c r="L15" s="93">
        <f>'[1]Tableau des ChPr'!$H$12/12</f>
        <v>1375</v>
      </c>
      <c r="M15" s="93">
        <f>'[1]Tableau des ChPr'!$H$12/12</f>
        <v>1375</v>
      </c>
      <c r="N15" s="93">
        <f>'[1]Tableau des ChPr'!$H$12/12</f>
        <v>1375</v>
      </c>
      <c r="O15" s="92">
        <f>SUM(C15:N15)</f>
        <v>16500</v>
      </c>
      <c r="P15" s="93"/>
      <c r="Q15" s="96"/>
      <c r="V15" s="124"/>
      <c r="W15" s="123"/>
      <c r="AD15" s="34" t="s">
        <v>12</v>
      </c>
      <c r="AE15" s="16">
        <f>SUM(C16:E16)</f>
        <v>750</v>
      </c>
      <c r="AF15" s="16">
        <f>SUM(F16:H16)</f>
        <v>750</v>
      </c>
      <c r="AG15" s="16">
        <f>SUM(I16:K16)</f>
        <v>750</v>
      </c>
      <c r="AH15" s="63">
        <f>SUM(L16:N16)</f>
        <v>750</v>
      </c>
      <c r="AI15" s="63">
        <f>AF15+AG15+AH15+AE15</f>
        <v>3000</v>
      </c>
    </row>
    <row r="16" spans="2:35" ht="18" x14ac:dyDescent="0.55000000000000004">
      <c r="B16" s="108" t="s">
        <v>12</v>
      </c>
      <c r="C16" s="93">
        <f>'[1]Tableau des ChPr'!$H$39/12</f>
        <v>250</v>
      </c>
      <c r="D16" s="93">
        <f>'[1]Tableau des ChPr'!$H$39/12</f>
        <v>250</v>
      </c>
      <c r="E16" s="93">
        <f>'[1]Tableau des ChPr'!$H$39/12</f>
        <v>250</v>
      </c>
      <c r="F16" s="93">
        <f>'[1]Tableau des ChPr'!$H$39/12</f>
        <v>250</v>
      </c>
      <c r="G16" s="93">
        <f>'[1]Tableau des ChPr'!$H$39/12</f>
        <v>250</v>
      </c>
      <c r="H16" s="93">
        <f>'[1]Tableau des ChPr'!$H$39/12</f>
        <v>250</v>
      </c>
      <c r="I16" s="93">
        <f>'[1]Tableau des ChPr'!$H$39/12</f>
        <v>250</v>
      </c>
      <c r="J16" s="93">
        <f>'[1]Tableau des ChPr'!$H$39/12</f>
        <v>250</v>
      </c>
      <c r="K16" s="93">
        <f>'[1]Tableau des ChPr'!$H$39/12</f>
        <v>250</v>
      </c>
      <c r="L16" s="93">
        <f>'[1]Tableau des ChPr'!$H$39/12</f>
        <v>250</v>
      </c>
      <c r="M16" s="93">
        <f>'[1]Tableau des ChPr'!$H$39/12</f>
        <v>250</v>
      </c>
      <c r="N16" s="93">
        <f>'[1]Tableau des ChPr'!$H$39/12</f>
        <v>250</v>
      </c>
      <c r="O16" s="92">
        <f>SUM(C16:N16)</f>
        <v>3000</v>
      </c>
      <c r="P16" s="93"/>
      <c r="Q16" s="96"/>
      <c r="S16" s="122" t="s">
        <v>70</v>
      </c>
      <c r="T16" s="75"/>
      <c r="U16" s="121">
        <v>575000</v>
      </c>
      <c r="W16" s="118"/>
      <c r="Y16" s="117"/>
      <c r="Z16" s="117"/>
      <c r="AD16" s="36" t="s">
        <v>11</v>
      </c>
      <c r="AE16" s="35">
        <f>SUM(C17:E17)</f>
        <v>875</v>
      </c>
      <c r="AF16" s="16">
        <f>SUM(F17:H17)</f>
        <v>875</v>
      </c>
      <c r="AG16" s="16">
        <f>SUM(I17:K17)</f>
        <v>875</v>
      </c>
      <c r="AH16" s="63">
        <f>SUM(L17:N17)</f>
        <v>875</v>
      </c>
      <c r="AI16" s="63">
        <f>AF16+AG16+AH16+AE16</f>
        <v>3500</v>
      </c>
    </row>
    <row r="17" spans="2:38" ht="23.25" customHeight="1" x14ac:dyDescent="0.55000000000000004">
      <c r="B17" s="120" t="s">
        <v>11</v>
      </c>
      <c r="C17" s="119">
        <f>'[1]Tableau des ChPr'!H35/12</f>
        <v>291.66666666666669</v>
      </c>
      <c r="D17" s="93">
        <f>'[1]Tableau des ChPr'!H35/12</f>
        <v>291.66666666666669</v>
      </c>
      <c r="E17" s="93">
        <f>'[1]Tableau des ChPr'!H35/12</f>
        <v>291.66666666666669</v>
      </c>
      <c r="F17" s="93">
        <f>'[1]Tableau des ChPr'!H35/12</f>
        <v>291.66666666666669</v>
      </c>
      <c r="G17" s="93">
        <f>'[1]Tableau des ChPr'!H35/12</f>
        <v>291.66666666666669</v>
      </c>
      <c r="H17" s="93">
        <f>'[1]Tableau des ChPr'!H35/12</f>
        <v>291.66666666666669</v>
      </c>
      <c r="I17" s="93">
        <f>'[1]Tableau des ChPr'!H35/12</f>
        <v>291.66666666666669</v>
      </c>
      <c r="J17" s="94">
        <f>'[1]Tableau des ChPr'!H35/12</f>
        <v>291.66666666666669</v>
      </c>
      <c r="K17" s="93">
        <f>'[1]Tableau des ChPr'!H35/12</f>
        <v>291.66666666666669</v>
      </c>
      <c r="L17" s="93">
        <f>'[1]Tableau des ChPr'!H35/12</f>
        <v>291.66666666666669</v>
      </c>
      <c r="M17" s="93">
        <f>'[1]Tableau des ChPr'!H35/12</f>
        <v>291.66666666666669</v>
      </c>
      <c r="N17" s="93">
        <f>'[1]Tableau des ChPr'!H35/12</f>
        <v>291.66666666666669</v>
      </c>
      <c r="O17" s="92">
        <f>SUM(C17:N17)</f>
        <v>3499.9999999999995</v>
      </c>
      <c r="P17" s="93"/>
      <c r="Q17" s="96"/>
      <c r="S17" s="115" t="s">
        <v>69</v>
      </c>
      <c r="T17" s="70"/>
      <c r="U17" s="69">
        <v>0.05</v>
      </c>
      <c r="W17" s="118"/>
      <c r="Y17" s="117"/>
      <c r="AD17" s="34" t="s">
        <v>10</v>
      </c>
      <c r="AE17" s="16">
        <f>SUM(C18:E18)</f>
        <v>0</v>
      </c>
      <c r="AF17" s="16">
        <f>SUM(F18:H18)</f>
        <v>0</v>
      </c>
      <c r="AG17" s="16">
        <f>SUM(I18:K18)</f>
        <v>0</v>
      </c>
      <c r="AH17" s="63">
        <f>SUM(L18:N18)</f>
        <v>1575</v>
      </c>
      <c r="AI17" s="63">
        <f>AF17+AG17+AH17+AE17</f>
        <v>1575</v>
      </c>
    </row>
    <row r="18" spans="2:38" ht="24.75" customHeight="1" x14ac:dyDescent="0.55000000000000004">
      <c r="B18" s="108" t="s">
        <v>10</v>
      </c>
      <c r="C18" s="93"/>
      <c r="D18" s="93"/>
      <c r="E18" s="93"/>
      <c r="F18" s="93"/>
      <c r="G18" s="93"/>
      <c r="H18" s="93"/>
      <c r="I18" s="93"/>
      <c r="J18" s="94"/>
      <c r="K18" s="93"/>
      <c r="L18" s="93"/>
      <c r="M18" s="93"/>
      <c r="N18" s="116">
        <f>[1]SIG!D19</f>
        <v>1575</v>
      </c>
      <c r="O18" s="92">
        <f>SUM(C18:N18)</f>
        <v>1575</v>
      </c>
      <c r="P18" s="93"/>
      <c r="Q18" s="96"/>
      <c r="S18" s="115" t="s">
        <v>68</v>
      </c>
      <c r="U18" s="114">
        <v>7</v>
      </c>
      <c r="Y18" s="113" t="s">
        <v>66</v>
      </c>
      <c r="AD18" s="34" t="s">
        <v>9</v>
      </c>
      <c r="AE18" s="16">
        <f>SUM(C19:E19)</f>
        <v>24842.848901637037</v>
      </c>
      <c r="AF18" s="16">
        <f>SUM(F19:H19)</f>
        <v>24842.848901637037</v>
      </c>
      <c r="AG18" s="16">
        <f>SUM(I19:K19)</f>
        <v>24842.848901637037</v>
      </c>
      <c r="AH18" s="63">
        <f>SUM(L19:N19)</f>
        <v>24842.848901637037</v>
      </c>
      <c r="AI18" s="63">
        <f>AF18+AG18+AH18+AE18</f>
        <v>99371.395606548147</v>
      </c>
    </row>
    <row r="19" spans="2:38" ht="27" customHeight="1" x14ac:dyDescent="0.55000000000000004">
      <c r="B19" s="108" t="s">
        <v>9</v>
      </c>
      <c r="C19" s="93">
        <f>$W6/12</f>
        <v>8280.9496338790123</v>
      </c>
      <c r="D19" s="93">
        <f>$W6/12</f>
        <v>8280.9496338790123</v>
      </c>
      <c r="E19" s="93">
        <f>$W6/12</f>
        <v>8280.9496338790123</v>
      </c>
      <c r="F19" s="93">
        <f>$W6/12</f>
        <v>8280.9496338790123</v>
      </c>
      <c r="G19" s="93">
        <f>$W6/12</f>
        <v>8280.9496338790123</v>
      </c>
      <c r="H19" s="93">
        <f>$W6/12</f>
        <v>8280.9496338790123</v>
      </c>
      <c r="I19" s="93">
        <f>$W6/12</f>
        <v>8280.9496338790123</v>
      </c>
      <c r="J19" s="94">
        <f>$W6/12</f>
        <v>8280.9496338790123</v>
      </c>
      <c r="K19" s="93">
        <f>$W6/12</f>
        <v>8280.9496338790123</v>
      </c>
      <c r="L19" s="93">
        <f>$W6/12</f>
        <v>8280.9496338790123</v>
      </c>
      <c r="M19" s="93">
        <f>$W6/12</f>
        <v>8280.9496338790123</v>
      </c>
      <c r="N19" s="93">
        <f>$W6/12</f>
        <v>8280.9496338790123</v>
      </c>
      <c r="O19" s="92"/>
      <c r="P19" s="93"/>
      <c r="Q19" s="96"/>
      <c r="S19" s="112" t="s">
        <v>67</v>
      </c>
      <c r="T19" s="111" t="s">
        <v>66</v>
      </c>
      <c r="U19" s="110"/>
      <c r="Y19" s="109" t="s">
        <v>65</v>
      </c>
      <c r="AD19" s="34" t="s">
        <v>8</v>
      </c>
      <c r="AE19" s="16">
        <f>SUM(C20:E20)</f>
        <v>23200</v>
      </c>
      <c r="AF19" s="16">
        <f>SUM(F20:H20)</f>
        <v>23200</v>
      </c>
      <c r="AG19" s="16">
        <f>SUM(I20:K20)</f>
        <v>23200</v>
      </c>
      <c r="AH19" s="63">
        <f>SUM(L20:N20)</f>
        <v>23200</v>
      </c>
      <c r="AI19" s="63">
        <f>AF19+AG19+AH19+AE19</f>
        <v>92800</v>
      </c>
    </row>
    <row r="20" spans="2:38" ht="25.5" customHeight="1" x14ac:dyDescent="0.55000000000000004">
      <c r="B20" s="108" t="s">
        <v>8</v>
      </c>
      <c r="C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D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E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F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G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H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I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J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K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L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M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N20" s="93">
        <f>('[1]Tableau des ChPr'!$H$13+'[1]Tableau des ChPr'!$H$19+'[1]Tableau des ChPr'!$H$23+'[1]Tableau des ChPr'!$H$27+'[1]Tableau des ChPr'!$H$28+'[1]Tableau des ChPr'!$H$32+'[1]Tableau des ChPr'!$H$38)/12</f>
        <v>7733.333333333333</v>
      </c>
      <c r="O20" s="92">
        <f>SUM(C20:N20)</f>
        <v>92799.999999999985</v>
      </c>
      <c r="P20" s="93"/>
      <c r="Q20" s="96"/>
      <c r="AD20" s="33" t="s">
        <v>7</v>
      </c>
      <c r="AE20" s="32">
        <f>SUM(AE10:AE19)</f>
        <v>130667.84890163704</v>
      </c>
      <c r="AF20" s="32">
        <f>SUM(AF10:AF19)</f>
        <v>130667.84890163704</v>
      </c>
      <c r="AG20" s="32">
        <f>SUM(AG10:AG19)</f>
        <v>130667.84890163704</v>
      </c>
      <c r="AH20" s="31">
        <f>SUM(AH10:AH19)</f>
        <v>132242.84890163704</v>
      </c>
      <c r="AI20" s="63"/>
    </row>
    <row r="21" spans="2:38" ht="23.25" customHeight="1" x14ac:dyDescent="0.55000000000000004">
      <c r="B21" s="107" t="s">
        <v>64</v>
      </c>
      <c r="C21" s="106">
        <f>'[1]PFI final'!C10</f>
        <v>10000</v>
      </c>
      <c r="O21" s="92"/>
      <c r="P21" s="105"/>
      <c r="Q21" s="96"/>
      <c r="S21" s="104" t="s">
        <v>63</v>
      </c>
      <c r="AD21" s="23" t="s">
        <v>6</v>
      </c>
      <c r="AE21" s="21">
        <f>C23</f>
        <v>0</v>
      </c>
      <c r="AF21" s="21">
        <f>AE23</f>
        <v>-130667.84890163704</v>
      </c>
      <c r="AG21" s="21">
        <f>AF23</f>
        <v>-148615.69780327409</v>
      </c>
      <c r="AH21" s="25">
        <f>AG23</f>
        <v>-39753.546704911132</v>
      </c>
      <c r="AI21" s="62"/>
      <c r="AK21" s="103"/>
      <c r="AL21" s="1" t="s">
        <v>62</v>
      </c>
    </row>
    <row r="22" spans="2:38" ht="24.75" customHeight="1" x14ac:dyDescent="0.55000000000000004">
      <c r="B22" s="102" t="s">
        <v>7</v>
      </c>
      <c r="C22" s="91">
        <f>SUM(C11:C21)</f>
        <v>53555.949633879012</v>
      </c>
      <c r="D22" s="91">
        <f>SUM(D11:D21)</f>
        <v>43555.949633879012</v>
      </c>
      <c r="E22" s="91">
        <f>SUM(E11:E21)</f>
        <v>43555.949633879012</v>
      </c>
      <c r="F22" s="91">
        <f>SUM(F11:F21)</f>
        <v>43555.949633879012</v>
      </c>
      <c r="G22" s="91">
        <f>SUM(G11:G21)</f>
        <v>43555.949633879012</v>
      </c>
      <c r="H22" s="91">
        <f>SUM(H11:H21)</f>
        <v>43555.949633879012</v>
      </c>
      <c r="I22" s="91">
        <f>SUM(I11:I21)</f>
        <v>43555.949633879012</v>
      </c>
      <c r="J22" s="91">
        <f>SUM(J11:J21)</f>
        <v>43555.949633879012</v>
      </c>
      <c r="K22" s="91">
        <f>SUM(K11:K21)</f>
        <v>43555.949633879012</v>
      </c>
      <c r="L22" s="91">
        <f>SUM(L11:L21)</f>
        <v>43555.949633879012</v>
      </c>
      <c r="M22" s="91">
        <f>SUM(M11:M21)</f>
        <v>43555.949633879012</v>
      </c>
      <c r="N22" s="91">
        <f>SUM(N11:N21)</f>
        <v>45130.949633879012</v>
      </c>
      <c r="O22" s="101">
        <f>SUM(O11:O20)</f>
        <v>424875.00000000006</v>
      </c>
      <c r="P22" s="93"/>
      <c r="Q22" s="96"/>
      <c r="AD22" s="17" t="s">
        <v>5</v>
      </c>
      <c r="AE22" s="16">
        <f>AE9-AE20</f>
        <v>-130667.84890163704</v>
      </c>
      <c r="AF22" s="16">
        <f>AF9-AF20</f>
        <v>-17947.848901637044</v>
      </c>
      <c r="AG22" s="16">
        <f>AG9-AG20</f>
        <v>108862.15109836296</v>
      </c>
      <c r="AH22" s="19">
        <f>AH9-AH20</f>
        <v>65017.151098362956</v>
      </c>
      <c r="AI22" s="61"/>
    </row>
    <row r="23" spans="2:38" ht="25.5" customHeight="1" x14ac:dyDescent="0.55000000000000004">
      <c r="B23" s="100" t="s">
        <v>6</v>
      </c>
      <c r="C23" s="98"/>
      <c r="D23" s="98">
        <f>C25</f>
        <v>106444.050366121</v>
      </c>
      <c r="E23" s="98">
        <f>D25</f>
        <v>62888.100732241983</v>
      </c>
      <c r="F23" s="98">
        <f>E25</f>
        <v>19332.151098362971</v>
      </c>
      <c r="G23" s="98">
        <f>F25</f>
        <v>-3088.7985355160417</v>
      </c>
      <c r="H23" s="98">
        <f>G25</f>
        <v>-25509.748169395054</v>
      </c>
      <c r="I23" s="98">
        <f>H25</f>
        <v>1384.3021967259338</v>
      </c>
      <c r="J23" s="99">
        <f>I25</f>
        <v>35323.352562846922</v>
      </c>
      <c r="K23" s="98">
        <f>J25</f>
        <v>69262.402928967902</v>
      </c>
      <c r="L23" s="98">
        <f>K25</f>
        <v>110246.4532950889</v>
      </c>
      <c r="M23" s="98">
        <f>L25</f>
        <v>151230.50366120989</v>
      </c>
      <c r="N23" s="98">
        <f>M25</f>
        <v>142899.55402733089</v>
      </c>
      <c r="O23" s="97"/>
      <c r="P23" s="93"/>
      <c r="Q23" s="96"/>
      <c r="U23" s="88"/>
      <c r="AD23" s="11" t="s">
        <v>3</v>
      </c>
      <c r="AE23" s="9">
        <f>AE21+AE22</f>
        <v>-130667.84890163704</v>
      </c>
      <c r="AF23" s="9">
        <f>AF21+AF22</f>
        <v>-148615.69780327409</v>
      </c>
      <c r="AG23" s="9">
        <f>AG21+AG22</f>
        <v>-39753.546704911132</v>
      </c>
      <c r="AH23" s="9">
        <f>AH21+AH22</f>
        <v>25263.604393451824</v>
      </c>
      <c r="AI23" s="12">
        <f>AH23</f>
        <v>25263.604393451824</v>
      </c>
    </row>
    <row r="24" spans="2:38" ht="24.75" customHeight="1" x14ac:dyDescent="0.55000000000000004">
      <c r="B24" s="95" t="s">
        <v>4</v>
      </c>
      <c r="C24" s="93">
        <f>C10-C22</f>
        <v>106444.050366121</v>
      </c>
      <c r="D24" s="93">
        <f>D10-D22</f>
        <v>-43555.949633879012</v>
      </c>
      <c r="E24" s="93">
        <f>E10-E22</f>
        <v>-43555.949633879012</v>
      </c>
      <c r="F24" s="93">
        <f>F10-F22</f>
        <v>-22420.949633879012</v>
      </c>
      <c r="G24" s="93">
        <f>G10-G22</f>
        <v>-22420.949633879012</v>
      </c>
      <c r="H24" s="93">
        <f>H10-H22</f>
        <v>26894.050366120988</v>
      </c>
      <c r="I24" s="93">
        <f>I10-I22</f>
        <v>33939.050366120988</v>
      </c>
      <c r="J24" s="94">
        <f>J10-J22</f>
        <v>33939.050366120988</v>
      </c>
      <c r="K24" s="93">
        <f>K10-K22</f>
        <v>40984.050366120988</v>
      </c>
      <c r="L24" s="93">
        <f>L10-L22</f>
        <v>40984.050366120988</v>
      </c>
      <c r="M24" s="93">
        <f>M10-M22</f>
        <v>-8330.9496338790123</v>
      </c>
      <c r="N24" s="93">
        <f>N10-N22</f>
        <v>32364.050366120988</v>
      </c>
      <c r="O24" s="92"/>
      <c r="P24" s="91"/>
      <c r="Q24" s="90"/>
      <c r="T24" s="89"/>
      <c r="U24" s="88"/>
      <c r="V24" s="87"/>
    </row>
    <row r="25" spans="2:38" ht="27" customHeight="1" x14ac:dyDescent="0.55000000000000004">
      <c r="B25" s="86" t="s">
        <v>61</v>
      </c>
      <c r="C25" s="84">
        <f>C23+C24</f>
        <v>106444.050366121</v>
      </c>
      <c r="D25" s="84">
        <f>D23+D24</f>
        <v>62888.100732241983</v>
      </c>
      <c r="E25" s="84">
        <f>E23+E24</f>
        <v>19332.151098362971</v>
      </c>
      <c r="F25" s="84">
        <f>F23+F24</f>
        <v>-3088.7985355160417</v>
      </c>
      <c r="G25" s="84">
        <f>G23+G24</f>
        <v>-25509.748169395054</v>
      </c>
      <c r="H25" s="84">
        <f>H23+H24</f>
        <v>1384.3021967259338</v>
      </c>
      <c r="I25" s="84">
        <f>I23+I24</f>
        <v>35323.352562846922</v>
      </c>
      <c r="J25" s="85">
        <f>J23+J24</f>
        <v>69262.402928967902</v>
      </c>
      <c r="K25" s="84">
        <f>K23+K24</f>
        <v>110246.4532950889</v>
      </c>
      <c r="L25" s="84">
        <f>L23+L24</f>
        <v>151230.50366120989</v>
      </c>
      <c r="M25" s="84">
        <f>M23+M24</f>
        <v>142899.55402733089</v>
      </c>
      <c r="N25" s="84">
        <f>N23+N24</f>
        <v>175263.60439345188</v>
      </c>
      <c r="O25" s="83">
        <f>N25</f>
        <v>175263.60439345188</v>
      </c>
      <c r="AD25" s="57" t="s">
        <v>60</v>
      </c>
      <c r="AE25" s="56" t="s">
        <v>41</v>
      </c>
      <c r="AF25" s="55" t="s">
        <v>40</v>
      </c>
      <c r="AG25" s="55" t="s">
        <v>39</v>
      </c>
      <c r="AH25" s="55" t="s">
        <v>38</v>
      </c>
      <c r="AI25" s="54" t="s">
        <v>37</v>
      </c>
    </row>
    <row r="26" spans="2:38" hidden="1" x14ac:dyDescent="0.45">
      <c r="B26" s="53" t="s">
        <v>60</v>
      </c>
      <c r="C26" s="51" t="s">
        <v>35</v>
      </c>
      <c r="D26" s="51" t="s">
        <v>34</v>
      </c>
      <c r="E26" s="51" t="s">
        <v>33</v>
      </c>
      <c r="F26" s="51" t="s">
        <v>32</v>
      </c>
      <c r="G26" s="51" t="s">
        <v>31</v>
      </c>
      <c r="H26" s="51" t="s">
        <v>30</v>
      </c>
      <c r="I26" s="51" t="s">
        <v>29</v>
      </c>
      <c r="J26" s="52" t="s">
        <v>28</v>
      </c>
      <c r="K26" s="51" t="s">
        <v>27</v>
      </c>
      <c r="L26" s="51" t="s">
        <v>26</v>
      </c>
      <c r="M26" s="51" t="s">
        <v>25</v>
      </c>
      <c r="N26" s="82" t="s">
        <v>24</v>
      </c>
      <c r="O26" s="81" t="s">
        <v>23</v>
      </c>
      <c r="P26" s="58"/>
      <c r="Q26" s="80" t="s">
        <v>22</v>
      </c>
      <c r="S26" s="79" t="s">
        <v>59</v>
      </c>
      <c r="T26" s="78"/>
      <c r="U26" s="77" t="s">
        <v>58</v>
      </c>
      <c r="AD26" s="17" t="s">
        <v>21</v>
      </c>
      <c r="AE26" s="39">
        <f>SUM(C27:E27)</f>
        <v>0</v>
      </c>
      <c r="AF26" s="39"/>
      <c r="AG26" s="39"/>
      <c r="AH26" s="61"/>
      <c r="AI26" s="61"/>
    </row>
    <row r="27" spans="2:38" hidden="1" x14ac:dyDescent="0.45">
      <c r="B27" s="47" t="s">
        <v>21</v>
      </c>
      <c r="C27" s="39"/>
      <c r="D27" s="39"/>
      <c r="E27" s="39"/>
      <c r="F27" s="39"/>
      <c r="G27" s="39"/>
      <c r="H27" s="39"/>
      <c r="I27" s="39"/>
      <c r="J27" s="40"/>
      <c r="K27" s="39"/>
      <c r="L27" s="39"/>
      <c r="M27" s="39"/>
      <c r="N27" s="39"/>
      <c r="O27" s="76"/>
      <c r="P27" s="14"/>
      <c r="Q27" s="45">
        <f>SUM(F28:N28)+SUM(C49:E49)</f>
        <v>739725</v>
      </c>
      <c r="S27" s="75" t="s">
        <v>51</v>
      </c>
      <c r="T27" s="74" t="s">
        <v>57</v>
      </c>
      <c r="U27" s="73">
        <v>0.03</v>
      </c>
      <c r="AD27" s="46" t="s">
        <v>20</v>
      </c>
      <c r="AE27" s="35">
        <f>SUM(C28:E28)</f>
        <v>154990</v>
      </c>
      <c r="AF27" s="16">
        <f>F28+G28+H28</f>
        <v>118356</v>
      </c>
      <c r="AG27" s="16">
        <f>I28+J28+K28</f>
        <v>251506.5</v>
      </c>
      <c r="AH27" s="63">
        <f>L28+M28+N28</f>
        <v>207123</v>
      </c>
      <c r="AI27" s="63">
        <f>AF27+AG27+AH27</f>
        <v>576985.5</v>
      </c>
    </row>
    <row r="28" spans="2:38" hidden="1" x14ac:dyDescent="0.45">
      <c r="B28" s="17" t="s">
        <v>20</v>
      </c>
      <c r="C28" s="16">
        <f>[1]CDR!$D14*U36</f>
        <v>77495</v>
      </c>
      <c r="D28" s="16">
        <f>[1]CDR!$D14*U37</f>
        <v>28180</v>
      </c>
      <c r="E28" s="16">
        <f>[1]CDR!$D14*U38</f>
        <v>49315.000000000007</v>
      </c>
      <c r="F28" s="16">
        <f>[1]CDR!E14*$U27</f>
        <v>22191.75</v>
      </c>
      <c r="G28" s="16">
        <f>[1]CDR!E8*$U28</f>
        <v>22191.75</v>
      </c>
      <c r="H28" s="16">
        <f>[1]CDR!E8*$U29</f>
        <v>73972.5</v>
      </c>
      <c r="I28" s="16">
        <f>[1]CDR!E8*$U30</f>
        <v>81369.75</v>
      </c>
      <c r="J28" s="14">
        <f>[1]CDR!E8*$U31</f>
        <v>81369.75</v>
      </c>
      <c r="K28" s="16">
        <f>[1]CDR!E8*$U32</f>
        <v>88767</v>
      </c>
      <c r="L28" s="16">
        <f>[1]CDR!E8*U33</f>
        <v>88767</v>
      </c>
      <c r="M28" s="16">
        <f>[1]CDR!E8*U34</f>
        <v>36986.25</v>
      </c>
      <c r="N28" s="16">
        <f>[1]CDR!E8*U35</f>
        <v>81369.75</v>
      </c>
      <c r="O28" s="15">
        <f>SUM(C28:K28)</f>
        <v>524852.5</v>
      </c>
      <c r="P28" s="14"/>
      <c r="Q28" s="45">
        <f>[1]CDR!E7</f>
        <v>739725</v>
      </c>
      <c r="S28" s="70" t="s">
        <v>34</v>
      </c>
      <c r="T28" s="1" t="s">
        <v>56</v>
      </c>
      <c r="U28" s="72">
        <v>0.03</v>
      </c>
      <c r="AD28" s="17" t="s">
        <v>19</v>
      </c>
      <c r="AE28" s="16">
        <f>SUM(C29:E29)</f>
        <v>0</v>
      </c>
      <c r="AF28" s="44"/>
      <c r="AG28" s="16"/>
      <c r="AH28" s="61"/>
      <c r="AI28" s="61"/>
    </row>
    <row r="29" spans="2:38" hidden="1" x14ac:dyDescent="0.45">
      <c r="B29" s="17" t="s">
        <v>19</v>
      </c>
      <c r="C29" s="16"/>
      <c r="D29" s="16"/>
      <c r="E29" s="16"/>
      <c r="F29" s="16"/>
      <c r="G29" s="16"/>
      <c r="H29" s="16"/>
      <c r="I29" s="16"/>
      <c r="J29" s="14"/>
      <c r="K29" s="16"/>
      <c r="L29" s="16"/>
      <c r="M29" s="16"/>
      <c r="N29" s="16"/>
      <c r="O29" s="15">
        <f>SUM(C29:N29)</f>
        <v>0</v>
      </c>
      <c r="P29" s="14"/>
      <c r="Q29" s="60">
        <f>Q27-Q28</f>
        <v>0</v>
      </c>
      <c r="S29" s="70" t="s">
        <v>33</v>
      </c>
      <c r="T29" s="1" t="s">
        <v>55</v>
      </c>
      <c r="U29" s="71">
        <v>0.1</v>
      </c>
      <c r="AD29" s="29" t="s">
        <v>18</v>
      </c>
      <c r="AE29" s="27">
        <f>SUM(AE26:AE28)</f>
        <v>154990</v>
      </c>
      <c r="AF29" s="27">
        <f>SUM(AF26:AF28)</f>
        <v>118356</v>
      </c>
      <c r="AG29" s="27">
        <f>SUM(AG26:AG28)</f>
        <v>251506.5</v>
      </c>
      <c r="AH29" s="42">
        <f>SUM(AH26:AH28)</f>
        <v>207123</v>
      </c>
      <c r="AI29" s="42">
        <f>AI27</f>
        <v>576985.5</v>
      </c>
    </row>
    <row r="30" spans="2:38" hidden="1" x14ac:dyDescent="0.45">
      <c r="B30" s="29" t="s">
        <v>18</v>
      </c>
      <c r="C30" s="27">
        <f>SUM(C27:C29)</f>
        <v>77495</v>
      </c>
      <c r="D30" s="27">
        <f>SUM(D27:D29)</f>
        <v>28180</v>
      </c>
      <c r="E30" s="27">
        <f>SUM(E27:E29)</f>
        <v>49315.000000000007</v>
      </c>
      <c r="F30" s="27">
        <f>SUM(F27:F29)</f>
        <v>22191.75</v>
      </c>
      <c r="G30" s="27">
        <f>SUM(G27:G29)</f>
        <v>22191.75</v>
      </c>
      <c r="H30" s="27">
        <f>SUM(H27:H29)</f>
        <v>73972.5</v>
      </c>
      <c r="I30" s="27">
        <f>SUM(I27:I29)</f>
        <v>81369.75</v>
      </c>
      <c r="J30" s="28">
        <f>SUM(J27:J29)</f>
        <v>81369.75</v>
      </c>
      <c r="K30" s="27">
        <f>SUM(K27:K29)</f>
        <v>88767</v>
      </c>
      <c r="L30" s="27">
        <f>SUM(L27:L29)</f>
        <v>88767</v>
      </c>
      <c r="M30" s="27">
        <f>SUM(M27:M29)</f>
        <v>36986.25</v>
      </c>
      <c r="N30" s="27">
        <f>SUM(N27:N29)</f>
        <v>81369.75</v>
      </c>
      <c r="O30" s="26">
        <f>SUM(C30:N30)</f>
        <v>731975.5</v>
      </c>
      <c r="P30" s="7"/>
      <c r="Q30" s="13"/>
      <c r="S30" s="70" t="s">
        <v>32</v>
      </c>
      <c r="T30" s="1" t="s">
        <v>54</v>
      </c>
      <c r="U30" s="71">
        <v>0.11</v>
      </c>
      <c r="AD30" s="41" t="s">
        <v>17</v>
      </c>
      <c r="AE30" s="39"/>
      <c r="AF30" s="39"/>
      <c r="AG30" s="39"/>
      <c r="AH30" s="61"/>
      <c r="AI30" s="61"/>
    </row>
    <row r="31" spans="2:38" hidden="1" x14ac:dyDescent="0.45">
      <c r="B31" s="41" t="s">
        <v>17</v>
      </c>
      <c r="C31" s="39"/>
      <c r="D31" s="39"/>
      <c r="E31" s="39"/>
      <c r="F31" s="39"/>
      <c r="G31" s="39"/>
      <c r="H31" s="39"/>
      <c r="I31" s="39"/>
      <c r="J31" s="40"/>
      <c r="K31" s="39"/>
      <c r="L31" s="39"/>
      <c r="M31" s="39"/>
      <c r="N31" s="39"/>
      <c r="O31" s="38">
        <f>SUM(C31:N31)</f>
        <v>0</v>
      </c>
      <c r="P31" s="14"/>
      <c r="Q31" s="13"/>
      <c r="S31" s="70" t="s">
        <v>46</v>
      </c>
      <c r="T31" s="1" t="s">
        <v>53</v>
      </c>
      <c r="U31" s="71">
        <v>0.11</v>
      </c>
      <c r="AD31" s="34" t="s">
        <v>16</v>
      </c>
      <c r="AE31" s="16"/>
      <c r="AF31" s="16"/>
      <c r="AG31" s="16"/>
      <c r="AH31" s="61"/>
      <c r="AI31" s="61"/>
    </row>
    <row r="32" spans="2:38" hidden="1" x14ac:dyDescent="0.45">
      <c r="B32" s="34" t="s">
        <v>16</v>
      </c>
      <c r="C32" s="16"/>
      <c r="D32" s="16"/>
      <c r="E32" s="16"/>
      <c r="F32" s="16"/>
      <c r="G32" s="16"/>
      <c r="H32" s="16"/>
      <c r="I32" s="16"/>
      <c r="J32" s="14"/>
      <c r="K32" s="16"/>
      <c r="L32" s="16"/>
      <c r="M32" s="16"/>
      <c r="N32" s="16"/>
      <c r="O32" s="15"/>
      <c r="P32" s="14"/>
      <c r="Q32" s="13"/>
      <c r="S32" s="70" t="s">
        <v>30</v>
      </c>
      <c r="T32" s="1" t="s">
        <v>52</v>
      </c>
      <c r="U32" s="71">
        <v>0.12</v>
      </c>
      <c r="AD32" s="34" t="s">
        <v>15</v>
      </c>
      <c r="AE32" s="16">
        <f>SUM(C33:E33)</f>
        <v>51250</v>
      </c>
      <c r="AF32" s="16">
        <f>SUM(F33:H33)</f>
        <v>51250</v>
      </c>
      <c r="AG32" s="16">
        <f>SUM(I33:K33)</f>
        <v>51250</v>
      </c>
      <c r="AH32" s="63">
        <f>SUM(L33:N33)</f>
        <v>51250</v>
      </c>
      <c r="AI32" s="63">
        <f>AF32+AG32+AH32+AE32</f>
        <v>205000</v>
      </c>
    </row>
    <row r="33" spans="2:35" hidden="1" x14ac:dyDescent="0.45">
      <c r="B33" s="34" t="s">
        <v>15</v>
      </c>
      <c r="C33" s="16">
        <f>[1]CDR!$E$21/12</f>
        <v>17083.333333333332</v>
      </c>
      <c r="D33" s="16">
        <f>[1]CDR!$E$21/12</f>
        <v>17083.333333333332</v>
      </c>
      <c r="E33" s="16">
        <f>[1]CDR!$E$21/12</f>
        <v>17083.333333333332</v>
      </c>
      <c r="F33" s="16">
        <f>[1]CDR!$E$21/12</f>
        <v>17083.333333333332</v>
      </c>
      <c r="G33" s="16">
        <f>[1]CDR!$E$21/12</f>
        <v>17083.333333333332</v>
      </c>
      <c r="H33" s="16">
        <f>[1]CDR!$E$21/12</f>
        <v>17083.333333333332</v>
      </c>
      <c r="I33" s="16">
        <f>[1]CDR!$E$21/12</f>
        <v>17083.333333333332</v>
      </c>
      <c r="J33" s="14">
        <f>[1]CDR!$E$21/12</f>
        <v>17083.333333333332</v>
      </c>
      <c r="K33" s="16">
        <f>[1]CDR!$E$21/12</f>
        <v>17083.333333333332</v>
      </c>
      <c r="L33" s="16">
        <f>[1]CDR!$E$21/12</f>
        <v>17083.333333333332</v>
      </c>
      <c r="M33" s="16">
        <f>[1]CDR!$E$21/12</f>
        <v>17083.333333333332</v>
      </c>
      <c r="N33" s="16">
        <f>[1]CDR!$E$21/12</f>
        <v>17083.333333333332</v>
      </c>
      <c r="O33" s="15">
        <f>SUM(C33:N33)</f>
        <v>205000.00000000003</v>
      </c>
      <c r="P33" s="14"/>
      <c r="Q33" s="13"/>
      <c r="S33" s="70" t="s">
        <v>29</v>
      </c>
      <c r="T33" s="1" t="s">
        <v>51</v>
      </c>
      <c r="U33" s="69">
        <v>0.12</v>
      </c>
      <c r="AD33" s="37" t="s">
        <v>14</v>
      </c>
      <c r="AE33" s="16">
        <f>SUM(C34:E34)</f>
        <v>25625</v>
      </c>
      <c r="AF33" s="16">
        <f>SUM(F34:H34)</f>
        <v>25625</v>
      </c>
      <c r="AG33" s="16">
        <f>SUM(I34:K34)</f>
        <v>25625</v>
      </c>
      <c r="AH33" s="63">
        <f>SUM(L34:N34)</f>
        <v>25625</v>
      </c>
      <c r="AI33" s="63">
        <f>AF33+AG33+AH33+AE33</f>
        <v>102500</v>
      </c>
    </row>
    <row r="34" spans="2:35" hidden="1" x14ac:dyDescent="0.45">
      <c r="B34" s="37" t="s">
        <v>14</v>
      </c>
      <c r="C34" s="16">
        <f>[1]CDR!$E23/12</f>
        <v>8541.6666666666661</v>
      </c>
      <c r="D34" s="16">
        <f>[1]CDR!$E23/12</f>
        <v>8541.6666666666661</v>
      </c>
      <c r="E34" s="16">
        <f>[1]CDR!$E23/12</f>
        <v>8541.6666666666661</v>
      </c>
      <c r="F34" s="16">
        <f>[1]CDR!$E23/12</f>
        <v>8541.6666666666661</v>
      </c>
      <c r="G34" s="16">
        <f>[1]CDR!$E23/12</f>
        <v>8541.6666666666661</v>
      </c>
      <c r="H34" s="16">
        <f>[1]CDR!$E23/12</f>
        <v>8541.6666666666661</v>
      </c>
      <c r="I34" s="16">
        <f>[1]CDR!$E23/12</f>
        <v>8541.6666666666661</v>
      </c>
      <c r="J34" s="14">
        <f>[1]CDR!$E23/12</f>
        <v>8541.6666666666661</v>
      </c>
      <c r="K34" s="16">
        <f>[1]CDR!$E23/12</f>
        <v>8541.6666666666661</v>
      </c>
      <c r="L34" s="16">
        <f>[1]CDR!$E23/12</f>
        <v>8541.6666666666661</v>
      </c>
      <c r="M34" s="16">
        <f>[1]CDR!$E23/12</f>
        <v>8541.6666666666661</v>
      </c>
      <c r="N34" s="16">
        <f>[1]CDR!$E23/12</f>
        <v>8541.6666666666661</v>
      </c>
      <c r="O34" s="15">
        <f>SUM(C34:N34)</f>
        <v>102500.00000000001</v>
      </c>
      <c r="P34" s="14"/>
      <c r="Q34" s="13"/>
      <c r="S34" s="70" t="s">
        <v>28</v>
      </c>
      <c r="T34" s="1" t="s">
        <v>50</v>
      </c>
      <c r="U34" s="69">
        <v>0.05</v>
      </c>
      <c r="AD34" s="34" t="s">
        <v>13</v>
      </c>
      <c r="AE34" s="16">
        <f>SUM(C35:E35)</f>
        <v>4125</v>
      </c>
      <c r="AF34" s="16">
        <f>SUM(F35:H35)</f>
        <v>4125</v>
      </c>
      <c r="AG34" s="16">
        <f>SUM(I35:K35)</f>
        <v>4125</v>
      </c>
      <c r="AH34" s="63">
        <f>SUM(L35:N35)</f>
        <v>4125</v>
      </c>
      <c r="AI34" s="63">
        <f>AF34+AG34+AH34+AE34</f>
        <v>16500</v>
      </c>
    </row>
    <row r="35" spans="2:35" hidden="1" x14ac:dyDescent="0.45">
      <c r="B35" s="34" t="s">
        <v>13</v>
      </c>
      <c r="C35" s="16">
        <f>'[1]Tableau des ChPr'!$H$12/12</f>
        <v>1375</v>
      </c>
      <c r="D35" s="16">
        <f>'[1]Tableau des ChPr'!$H$12/12</f>
        <v>1375</v>
      </c>
      <c r="E35" s="16">
        <f>'[1]Tableau des ChPr'!$H$12/12</f>
        <v>1375</v>
      </c>
      <c r="F35" s="16">
        <f>'[1]Tableau des ChPr'!$H$12/12</f>
        <v>1375</v>
      </c>
      <c r="G35" s="16">
        <f>'[1]Tableau des ChPr'!$H$12/12</f>
        <v>1375</v>
      </c>
      <c r="H35" s="16">
        <f>'[1]Tableau des ChPr'!$H$12/12</f>
        <v>1375</v>
      </c>
      <c r="I35" s="16">
        <f>'[1]Tableau des ChPr'!$H$12/12</f>
        <v>1375</v>
      </c>
      <c r="J35" s="14">
        <f>'[1]Tableau des ChPr'!$H$12/12</f>
        <v>1375</v>
      </c>
      <c r="K35" s="16">
        <f>'[1]Tableau des ChPr'!$H$12/12</f>
        <v>1375</v>
      </c>
      <c r="L35" s="16">
        <f>'[1]Tableau des ChPr'!$H$12/12</f>
        <v>1375</v>
      </c>
      <c r="M35" s="16">
        <f>'[1]Tableau des ChPr'!$H$12/12</f>
        <v>1375</v>
      </c>
      <c r="N35" s="16">
        <f>'[1]Tableau des ChPr'!$H$12/12</f>
        <v>1375</v>
      </c>
      <c r="O35" s="15">
        <f>SUM(C35:N35)</f>
        <v>16500</v>
      </c>
      <c r="P35" s="14"/>
      <c r="Q35" s="13"/>
      <c r="S35" s="70" t="s">
        <v>27</v>
      </c>
      <c r="T35" s="1" t="s">
        <v>49</v>
      </c>
      <c r="U35" s="69">
        <v>0.11</v>
      </c>
      <c r="X35" s="1" t="s">
        <v>48</v>
      </c>
      <c r="AD35" s="34" t="s">
        <v>12</v>
      </c>
      <c r="AE35" s="16">
        <f>SUM(C36:E36)</f>
        <v>1551</v>
      </c>
      <c r="AF35" s="16">
        <f>SUM(F36:H36)</f>
        <v>1551</v>
      </c>
      <c r="AG35" s="16">
        <f>SUM(I36:K36)</f>
        <v>1551</v>
      </c>
      <c r="AH35" s="63">
        <f>SUM(L36:N36)</f>
        <v>1551</v>
      </c>
      <c r="AI35" s="63">
        <f>AF35+AG35+AH35+AE35</f>
        <v>6204</v>
      </c>
    </row>
    <row r="36" spans="2:35" hidden="1" x14ac:dyDescent="0.45">
      <c r="B36" s="34" t="s">
        <v>12</v>
      </c>
      <c r="C36" s="16">
        <v>517</v>
      </c>
      <c r="D36" s="16">
        <v>517</v>
      </c>
      <c r="E36" s="16">
        <v>517</v>
      </c>
      <c r="F36" s="16">
        <v>517</v>
      </c>
      <c r="G36" s="16">
        <v>517</v>
      </c>
      <c r="H36" s="16">
        <v>517</v>
      </c>
      <c r="I36" s="16">
        <v>517</v>
      </c>
      <c r="J36" s="14">
        <v>517</v>
      </c>
      <c r="K36" s="16">
        <v>517</v>
      </c>
      <c r="L36" s="16">
        <v>517</v>
      </c>
      <c r="M36" s="16">
        <v>517</v>
      </c>
      <c r="N36" s="16">
        <v>517</v>
      </c>
      <c r="O36" s="15"/>
      <c r="P36" s="14"/>
      <c r="Q36" s="13"/>
      <c r="S36" s="70" t="s">
        <v>26</v>
      </c>
      <c r="T36" s="1" t="s">
        <v>47</v>
      </c>
      <c r="U36" s="69">
        <v>0.11</v>
      </c>
      <c r="AD36" s="36" t="s">
        <v>11</v>
      </c>
      <c r="AE36" s="35">
        <f>SUM(C37:E37)</f>
        <v>876</v>
      </c>
      <c r="AF36" s="16">
        <f>SUM(F37:H37)</f>
        <v>876</v>
      </c>
      <c r="AG36" s="16">
        <f>SUM(I37:K37)</f>
        <v>876</v>
      </c>
      <c r="AH36" s="63">
        <f>SUM(L37:N37)</f>
        <v>876</v>
      </c>
      <c r="AI36" s="63">
        <f>AF36+AG36+AH36+AE36</f>
        <v>3504</v>
      </c>
    </row>
    <row r="37" spans="2:35" hidden="1" x14ac:dyDescent="0.45">
      <c r="B37" s="34" t="s">
        <v>11</v>
      </c>
      <c r="C37" s="16">
        <v>292</v>
      </c>
      <c r="D37" s="16">
        <v>292</v>
      </c>
      <c r="E37" s="16">
        <v>292</v>
      </c>
      <c r="F37" s="16">
        <v>292</v>
      </c>
      <c r="G37" s="16">
        <v>292</v>
      </c>
      <c r="H37" s="16">
        <v>292</v>
      </c>
      <c r="I37" s="16">
        <v>292</v>
      </c>
      <c r="J37" s="14">
        <v>292</v>
      </c>
      <c r="K37" s="16">
        <v>292</v>
      </c>
      <c r="L37" s="16">
        <v>292</v>
      </c>
      <c r="M37" s="16">
        <v>292</v>
      </c>
      <c r="N37" s="16">
        <v>292</v>
      </c>
      <c r="O37" s="15">
        <f>SUM(C37:N37)</f>
        <v>3504</v>
      </c>
      <c r="P37" s="14"/>
      <c r="Q37" s="13"/>
      <c r="S37" s="70" t="s">
        <v>25</v>
      </c>
      <c r="T37" s="1" t="s">
        <v>46</v>
      </c>
      <c r="U37" s="69">
        <v>0.04</v>
      </c>
      <c r="AD37" s="34" t="s">
        <v>10</v>
      </c>
      <c r="AE37" s="16">
        <f>SUM(C38:E38)</f>
        <v>0</v>
      </c>
      <c r="AF37" s="16">
        <f>SUM(F38:H38)</f>
        <v>62718.75</v>
      </c>
      <c r="AG37" s="16">
        <f>SUM(I38:K38)</f>
        <v>0</v>
      </c>
      <c r="AH37" s="63">
        <f>SUM(L38:N38)</f>
        <v>0</v>
      </c>
      <c r="AI37" s="63">
        <f>AF37+AG37+AH37+AE37</f>
        <v>62718.75</v>
      </c>
    </row>
    <row r="38" spans="2:35" hidden="1" x14ac:dyDescent="0.45">
      <c r="B38" s="34" t="s">
        <v>45</v>
      </c>
      <c r="C38" s="16"/>
      <c r="D38" s="16"/>
      <c r="E38" s="16"/>
      <c r="F38" s="16">
        <f>[1]CDR!D49</f>
        <v>62718.75</v>
      </c>
      <c r="G38" s="16"/>
      <c r="H38" s="16"/>
      <c r="I38" s="16"/>
      <c r="J38" s="14"/>
      <c r="K38" s="16"/>
      <c r="L38" s="16"/>
      <c r="M38" s="16"/>
      <c r="N38" s="16"/>
      <c r="O38" s="15"/>
      <c r="P38" s="14"/>
      <c r="Q38" s="13"/>
      <c r="S38" s="68" t="s">
        <v>24</v>
      </c>
      <c r="T38" s="67" t="s">
        <v>44</v>
      </c>
      <c r="U38" s="66">
        <v>7.0000000000000007E-2</v>
      </c>
      <c r="AD38" s="34" t="s">
        <v>10</v>
      </c>
      <c r="AE38" s="16">
        <f>SUM(C39:E39)</f>
        <v>0</v>
      </c>
      <c r="AF38" s="16">
        <f>SUM(F39:H39)</f>
        <v>0</v>
      </c>
      <c r="AG38" s="16">
        <f>SUM(I39:K39)</f>
        <v>0</v>
      </c>
      <c r="AH38" s="63">
        <f>SUM(L39:N39)</f>
        <v>1575</v>
      </c>
      <c r="AI38" s="63">
        <f>AF38+AG38+AH38+AE38</f>
        <v>1575</v>
      </c>
    </row>
    <row r="39" spans="2:35" hidden="1" x14ac:dyDescent="0.45">
      <c r="B39" s="34" t="s">
        <v>10</v>
      </c>
      <c r="C39" s="16"/>
      <c r="D39" s="16"/>
      <c r="E39" s="16"/>
      <c r="F39" s="16"/>
      <c r="G39" s="16"/>
      <c r="H39" s="16"/>
      <c r="I39" s="16"/>
      <c r="J39" s="14"/>
      <c r="K39" s="16"/>
      <c r="L39" s="16"/>
      <c r="M39" s="16"/>
      <c r="N39" s="16">
        <f>[1]SIG!D19</f>
        <v>1575</v>
      </c>
      <c r="O39" s="15"/>
      <c r="P39" s="14"/>
      <c r="Q39" s="13"/>
      <c r="S39" s="65" t="s">
        <v>43</v>
      </c>
      <c r="U39" s="64">
        <f>SUM(U27:U38)</f>
        <v>1</v>
      </c>
      <c r="AD39" s="34" t="s">
        <v>9</v>
      </c>
      <c r="AE39" s="16">
        <f>SUM(C40:E40)</f>
        <v>24842.848901637037</v>
      </c>
      <c r="AF39" s="16">
        <f>SUM(F40:H40)</f>
        <v>24842.848901637037</v>
      </c>
      <c r="AG39" s="16">
        <f>SUM(I40:K40)</f>
        <v>24842.848901637037</v>
      </c>
      <c r="AH39" s="63">
        <f>SUM(L40:N40)</f>
        <v>24842.848901637037</v>
      </c>
      <c r="AI39" s="63">
        <f>AF39+AG39+AH39+AE39</f>
        <v>99371.395606548147</v>
      </c>
    </row>
    <row r="40" spans="2:35" hidden="1" x14ac:dyDescent="0.45">
      <c r="B40" s="34" t="s">
        <v>9</v>
      </c>
      <c r="C40" s="16">
        <f>$W7/12</f>
        <v>8280.9496338790123</v>
      </c>
      <c r="D40" s="16">
        <f>$W7/12</f>
        <v>8280.9496338790123</v>
      </c>
      <c r="E40" s="16">
        <f>$W7/12</f>
        <v>8280.9496338790123</v>
      </c>
      <c r="F40" s="16">
        <f>$W7/12</f>
        <v>8280.9496338790123</v>
      </c>
      <c r="G40" s="16">
        <f>$W7/12</f>
        <v>8280.9496338790123</v>
      </c>
      <c r="H40" s="16">
        <f>$W7/12</f>
        <v>8280.9496338790123</v>
      </c>
      <c r="I40" s="16">
        <f>$W7/12</f>
        <v>8280.9496338790123</v>
      </c>
      <c r="J40" s="14">
        <f>$W7/12</f>
        <v>8280.9496338790123</v>
      </c>
      <c r="K40" s="16">
        <f>$W7/12</f>
        <v>8280.9496338790123</v>
      </c>
      <c r="L40" s="16">
        <f>$W7/12</f>
        <v>8280.9496338790123</v>
      </c>
      <c r="M40" s="16">
        <f>$W7/12</f>
        <v>8280.9496338790123</v>
      </c>
      <c r="N40" s="16">
        <f>$W7/12</f>
        <v>8280.9496338790123</v>
      </c>
      <c r="O40" s="15"/>
      <c r="P40" s="14"/>
      <c r="Q40" s="13"/>
      <c r="AD40" s="34" t="s">
        <v>8</v>
      </c>
      <c r="AE40" s="16">
        <f>SUM(C41:E41)</f>
        <v>18150</v>
      </c>
      <c r="AF40" s="16">
        <f>SUM(F41:H41)</f>
        <v>18150</v>
      </c>
      <c r="AG40" s="16">
        <f>SUM(I41:K41)</f>
        <v>18150</v>
      </c>
      <c r="AH40" s="63">
        <f>SUM(L41:N41)</f>
        <v>18150</v>
      </c>
      <c r="AI40" s="63">
        <f>AF40+AG40+AH40+AE40</f>
        <v>72600</v>
      </c>
    </row>
    <row r="41" spans="2:35" hidden="1" x14ac:dyDescent="0.45">
      <c r="B41" s="34" t="s">
        <v>8</v>
      </c>
      <c r="C41" s="16">
        <v>6050</v>
      </c>
      <c r="D41" s="16">
        <v>6050</v>
      </c>
      <c r="E41" s="16">
        <v>6050</v>
      </c>
      <c r="F41" s="16">
        <v>6050</v>
      </c>
      <c r="G41" s="16">
        <v>6050</v>
      </c>
      <c r="H41" s="16">
        <v>6050</v>
      </c>
      <c r="I41" s="16">
        <v>6050</v>
      </c>
      <c r="J41" s="14">
        <v>6050</v>
      </c>
      <c r="K41" s="16">
        <v>6050</v>
      </c>
      <c r="L41" s="16">
        <v>6050</v>
      </c>
      <c r="M41" s="16">
        <v>6050</v>
      </c>
      <c r="N41" s="16">
        <v>6050</v>
      </c>
      <c r="O41" s="15">
        <f>SUM(C41:N41)</f>
        <v>72600</v>
      </c>
      <c r="P41" s="14"/>
      <c r="Q41" s="13"/>
      <c r="AD41" s="33" t="s">
        <v>7</v>
      </c>
      <c r="AE41" s="32">
        <f>SUM(AE30:AE40)</f>
        <v>126419.84890163704</v>
      </c>
      <c r="AF41" s="32">
        <f>SUM(AF30:AF40)</f>
        <v>189138.59890163704</v>
      </c>
      <c r="AG41" s="32">
        <f>SUM(AG30:AG40)</f>
        <v>126419.84890163704</v>
      </c>
      <c r="AH41" s="31">
        <f>SUM(AH30:AH40)</f>
        <v>127994.84890163704</v>
      </c>
      <c r="AI41" s="63"/>
    </row>
    <row r="42" spans="2:35" hidden="1" x14ac:dyDescent="0.45">
      <c r="B42" s="29" t="s">
        <v>7</v>
      </c>
      <c r="C42" s="27">
        <f>SUM(C31:C41)</f>
        <v>42139.949633879012</v>
      </c>
      <c r="D42" s="27">
        <f>SUM(D31:D41)</f>
        <v>42139.949633879012</v>
      </c>
      <c r="E42" s="27">
        <f>SUM(E31:E41)</f>
        <v>42139.949633879012</v>
      </c>
      <c r="F42" s="27">
        <f>SUM(F31:F41)</f>
        <v>104858.699633879</v>
      </c>
      <c r="G42" s="27">
        <f>SUM(G31:G41)</f>
        <v>42139.949633879012</v>
      </c>
      <c r="H42" s="27">
        <f>SUM(H31:H41)</f>
        <v>42139.949633879012</v>
      </c>
      <c r="I42" s="27">
        <f>SUM(I31:I41)</f>
        <v>42139.949633879012</v>
      </c>
      <c r="J42" s="28">
        <f>SUM(J31:J41)</f>
        <v>42139.949633879012</v>
      </c>
      <c r="K42" s="27">
        <f>SUM(K31:K41)</f>
        <v>42139.949633879012</v>
      </c>
      <c r="L42" s="27">
        <f>SUM(L31:L41)</f>
        <v>42139.949633879012</v>
      </c>
      <c r="M42" s="27">
        <f>SUM(M31:M41)</f>
        <v>42139.949633879012</v>
      </c>
      <c r="N42" s="27">
        <f>SUM(N31:N41)</f>
        <v>43714.949633879012</v>
      </c>
      <c r="O42" s="26"/>
      <c r="P42" s="7"/>
      <c r="Q42" s="13"/>
      <c r="AD42" s="23" t="s">
        <v>6</v>
      </c>
      <c r="AE42" s="21">
        <f>AI23</f>
        <v>25263.604393451824</v>
      </c>
      <c r="AF42" s="21">
        <f>AE44</f>
        <v>53833.75549181478</v>
      </c>
      <c r="AG42" s="21">
        <f>AF44</f>
        <v>-16948.843409822264</v>
      </c>
      <c r="AH42" s="25">
        <f>AG44</f>
        <v>108137.80768854069</v>
      </c>
      <c r="AI42" s="62"/>
    </row>
    <row r="43" spans="2:35" ht="18" hidden="1" customHeight="1" x14ac:dyDescent="0.45">
      <c r="B43" s="23" t="s">
        <v>6</v>
      </c>
      <c r="C43" s="21">
        <f>N25</f>
        <v>175263.60439345188</v>
      </c>
      <c r="D43" s="21">
        <f>C45</f>
        <v>210618.65475957288</v>
      </c>
      <c r="E43" s="21">
        <f>D45</f>
        <v>196658.70512569387</v>
      </c>
      <c r="F43" s="21">
        <f>E45</f>
        <v>203833.75549181487</v>
      </c>
      <c r="G43" s="21">
        <f>F45</f>
        <v>121166.80585793586</v>
      </c>
      <c r="H43" s="21">
        <f>G45</f>
        <v>101218.60622405686</v>
      </c>
      <c r="I43" s="21">
        <f>H45</f>
        <v>133051.15659017785</v>
      </c>
      <c r="J43" s="22">
        <f>I45</f>
        <v>172280.95695629885</v>
      </c>
      <c r="K43" s="21">
        <f>J45</f>
        <v>211510.75732241984</v>
      </c>
      <c r="L43" s="21">
        <f>K45</f>
        <v>258137.80768854084</v>
      </c>
      <c r="M43" s="21">
        <f>L45</f>
        <v>304764.85805466183</v>
      </c>
      <c r="N43" s="21">
        <f>M45</f>
        <v>299611.15842078283</v>
      </c>
      <c r="O43" s="20"/>
      <c r="P43" s="14"/>
      <c r="Q43" s="13"/>
      <c r="AD43" s="17" t="s">
        <v>5</v>
      </c>
      <c r="AE43" s="16">
        <f>AE29-AE41</f>
        <v>28570.151098362956</v>
      </c>
      <c r="AF43" s="16">
        <f>AF29-AF41</f>
        <v>-70782.598901637044</v>
      </c>
      <c r="AG43" s="16">
        <f>AG29-AG41</f>
        <v>125086.65109836296</v>
      </c>
      <c r="AH43" s="19">
        <f>AH29-AH41</f>
        <v>79128.151098362956</v>
      </c>
      <c r="AI43" s="61"/>
    </row>
    <row r="44" spans="2:35" ht="17.25" hidden="1" customHeight="1" x14ac:dyDescent="0.45">
      <c r="B44" s="17" t="s">
        <v>4</v>
      </c>
      <c r="C44" s="16">
        <f>C30-C42</f>
        <v>35355.050366120988</v>
      </c>
      <c r="D44" s="16">
        <f>D30-D42</f>
        <v>-13959.949633879012</v>
      </c>
      <c r="E44" s="16">
        <f>E30-E42</f>
        <v>7175.050366120995</v>
      </c>
      <c r="F44" s="16">
        <f>F30-F42</f>
        <v>-82666.949633879005</v>
      </c>
      <c r="G44" s="16">
        <f>G30-G42</f>
        <v>-19948.199633879012</v>
      </c>
      <c r="H44" s="16">
        <f>H30-H42</f>
        <v>31832.550366120988</v>
      </c>
      <c r="I44" s="16">
        <f>I30-I42</f>
        <v>39229.800366120988</v>
      </c>
      <c r="J44" s="14">
        <f>J30-J42</f>
        <v>39229.800366120988</v>
      </c>
      <c r="K44" s="16">
        <f>K30-K42</f>
        <v>46627.050366120988</v>
      </c>
      <c r="L44" s="16">
        <f>L30-L42</f>
        <v>46627.050366120988</v>
      </c>
      <c r="M44" s="16">
        <f>M30-M42</f>
        <v>-5153.6996338790123</v>
      </c>
      <c r="N44" s="16">
        <f>N30-N42</f>
        <v>37654.800366120988</v>
      </c>
      <c r="O44" s="15"/>
      <c r="P44" s="14"/>
      <c r="Q44" s="13"/>
      <c r="AD44" s="11" t="s">
        <v>3</v>
      </c>
      <c r="AE44" s="9">
        <f>AE42+AE43</f>
        <v>53833.75549181478</v>
      </c>
      <c r="AF44" s="9">
        <f>AF42+AF43</f>
        <v>-16948.843409822264</v>
      </c>
      <c r="AG44" s="9">
        <f>AG42+AG43</f>
        <v>108137.80768854069</v>
      </c>
      <c r="AH44" s="9">
        <f>AH42+AH43</f>
        <v>187265.95878690365</v>
      </c>
      <c r="AI44" s="12">
        <f>AH44</f>
        <v>187265.95878690365</v>
      </c>
    </row>
    <row r="45" spans="2:35" ht="17.25" hidden="1" customHeight="1" x14ac:dyDescent="0.45">
      <c r="B45" s="11" t="s">
        <v>3</v>
      </c>
      <c r="C45" s="9">
        <f>C43+C44</f>
        <v>210618.65475957288</v>
      </c>
      <c r="D45" s="9">
        <f>D43+D44</f>
        <v>196658.70512569387</v>
      </c>
      <c r="E45" s="9">
        <f>E43+E44</f>
        <v>203833.75549181487</v>
      </c>
      <c r="F45" s="9">
        <f>F43+F44</f>
        <v>121166.80585793586</v>
      </c>
      <c r="G45" s="9">
        <f>G43+G44</f>
        <v>101218.60622405686</v>
      </c>
      <c r="H45" s="9">
        <f>H43+H44</f>
        <v>133051.15659017785</v>
      </c>
      <c r="I45" s="9">
        <f>I43+I44</f>
        <v>172280.95695629885</v>
      </c>
      <c r="J45" s="10">
        <f>J43+J44</f>
        <v>211510.75732241984</v>
      </c>
      <c r="K45" s="9">
        <f>K43+K44</f>
        <v>258137.80768854084</v>
      </c>
      <c r="L45" s="9">
        <f>L43+L44</f>
        <v>304764.85805466183</v>
      </c>
      <c r="M45" s="9">
        <f>M43+M44</f>
        <v>299611.15842078283</v>
      </c>
      <c r="N45" s="9">
        <f>N43+N44</f>
        <v>337265.95878690382</v>
      </c>
      <c r="O45" s="8">
        <f>N45</f>
        <v>337265.95878690382</v>
      </c>
      <c r="P45" s="7"/>
      <c r="Q45" s="6"/>
      <c r="AE45" s="3"/>
      <c r="AF45" s="3"/>
      <c r="AG45" s="3"/>
      <c r="AH45" s="3"/>
      <c r="AI45" s="3"/>
    </row>
    <row r="46" spans="2:35" ht="28.5" hidden="1" customHeight="1" x14ac:dyDescent="0.45">
      <c r="AD46" s="57" t="s">
        <v>42</v>
      </c>
      <c r="AE46" s="56" t="s">
        <v>41</v>
      </c>
      <c r="AF46" s="55" t="s">
        <v>40</v>
      </c>
      <c r="AG46" s="55" t="s">
        <v>39</v>
      </c>
      <c r="AH46" s="55" t="s">
        <v>38</v>
      </c>
      <c r="AI46" s="54" t="s">
        <v>37</v>
      </c>
    </row>
    <row r="47" spans="2:35" hidden="1" x14ac:dyDescent="0.45">
      <c r="B47" s="53" t="s">
        <v>42</v>
      </c>
      <c r="C47" s="51" t="s">
        <v>35</v>
      </c>
      <c r="D47" s="51" t="s">
        <v>34</v>
      </c>
      <c r="E47" s="51" t="s">
        <v>33</v>
      </c>
      <c r="F47" s="51" t="s">
        <v>32</v>
      </c>
      <c r="G47" s="51" t="s">
        <v>31</v>
      </c>
      <c r="H47" s="51" t="s">
        <v>30</v>
      </c>
      <c r="I47" s="51" t="s">
        <v>29</v>
      </c>
      <c r="J47" s="52" t="s">
        <v>28</v>
      </c>
      <c r="K47" s="51" t="s">
        <v>27</v>
      </c>
      <c r="L47" s="51" t="s">
        <v>26</v>
      </c>
      <c r="M47" s="51" t="s">
        <v>25</v>
      </c>
      <c r="N47" s="51" t="s">
        <v>24</v>
      </c>
      <c r="O47" s="50" t="s">
        <v>23</v>
      </c>
      <c r="P47" s="49"/>
      <c r="Q47" s="48" t="s">
        <v>22</v>
      </c>
      <c r="AD47" s="17" t="s">
        <v>21</v>
      </c>
      <c r="AE47" s="39">
        <f>SUM(C48:E48)</f>
        <v>0</v>
      </c>
      <c r="AF47" s="39"/>
      <c r="AG47" s="39"/>
      <c r="AH47" s="18"/>
      <c r="AI47" s="18"/>
    </row>
    <row r="48" spans="2:35" hidden="1" x14ac:dyDescent="0.45">
      <c r="B48" s="47" t="s">
        <v>21</v>
      </c>
      <c r="C48" s="39"/>
      <c r="D48" s="39"/>
      <c r="E48" s="39"/>
      <c r="F48" s="39"/>
      <c r="G48" s="39"/>
      <c r="H48" s="39"/>
      <c r="I48" s="39"/>
      <c r="J48" s="40"/>
      <c r="K48" s="39"/>
      <c r="L48" s="39"/>
      <c r="M48" s="39"/>
      <c r="N48" s="39"/>
      <c r="O48" s="38"/>
      <c r="P48" s="14"/>
      <c r="Q48" s="45">
        <f>SUM(F49:N49)+SUM(C69:E69)</f>
        <v>761916.75</v>
      </c>
      <c r="AD48" s="46" t="s">
        <v>20</v>
      </c>
      <c r="AE48" s="35">
        <f>SUM(C49:E49)</f>
        <v>162739.5</v>
      </c>
      <c r="AF48" s="16">
        <f>F49+G49+H49</f>
        <v>121906.68</v>
      </c>
      <c r="AG48" s="16">
        <f>I49+J49+K49</f>
        <v>259051.69500000001</v>
      </c>
      <c r="AH48" s="30">
        <f>L49+M49+N49</f>
        <v>213336.69</v>
      </c>
      <c r="AI48" s="30">
        <f>AF48+AG48+AH48</f>
        <v>594295.06499999994</v>
      </c>
    </row>
    <row r="49" spans="2:35" hidden="1" x14ac:dyDescent="0.45">
      <c r="B49" s="17" t="s">
        <v>20</v>
      </c>
      <c r="C49" s="16">
        <f>[1]CDR!E8*U36</f>
        <v>81369.75</v>
      </c>
      <c r="D49" s="16">
        <f>[1]CDR!E8*U37</f>
        <v>29589</v>
      </c>
      <c r="E49" s="16">
        <f>[1]CDR!E8*U38</f>
        <v>51780.750000000007</v>
      </c>
      <c r="F49" s="16">
        <f>[1]CDR!F8*$U27</f>
        <v>22857.502499999999</v>
      </c>
      <c r="G49" s="16">
        <f>[1]CDR!F8*$U28</f>
        <v>22857.502499999999</v>
      </c>
      <c r="H49" s="16">
        <f>[1]CDR!F8*$U29</f>
        <v>76191.675000000003</v>
      </c>
      <c r="I49" s="16">
        <f>[1]CDR!F8*$U30</f>
        <v>83810.842499999999</v>
      </c>
      <c r="J49" s="14">
        <f>[1]CDR!F8*$U31</f>
        <v>83810.842499999999</v>
      </c>
      <c r="K49" s="16">
        <f>[1]CDR!F8*$U32</f>
        <v>91430.01</v>
      </c>
      <c r="L49" s="16">
        <f>[1]CDR!F8*$U33</f>
        <v>91430.01</v>
      </c>
      <c r="M49" s="16">
        <f>[1]CDR!F8*$U34</f>
        <v>38095.837500000001</v>
      </c>
      <c r="N49" s="16">
        <f>[1]CDR!F8*$U35</f>
        <v>83810.842499999999</v>
      </c>
      <c r="O49" s="15">
        <f>SUM(C49:K49)</f>
        <v>543697.875</v>
      </c>
      <c r="P49" s="14"/>
      <c r="Q49" s="45">
        <f>[1]CDR!F7</f>
        <v>761916.75</v>
      </c>
      <c r="AD49" s="17" t="s">
        <v>19</v>
      </c>
      <c r="AE49" s="16">
        <f>SUM(C50:E50)</f>
        <v>0</v>
      </c>
      <c r="AF49" s="44"/>
      <c r="AG49" s="16"/>
      <c r="AH49" s="18"/>
      <c r="AI49" s="18"/>
    </row>
    <row r="50" spans="2:35" hidden="1" x14ac:dyDescent="0.45">
      <c r="B50" s="17" t="s">
        <v>19</v>
      </c>
      <c r="C50" s="16"/>
      <c r="D50" s="16"/>
      <c r="E50" s="16"/>
      <c r="F50" s="16"/>
      <c r="G50" s="16"/>
      <c r="H50" s="16"/>
      <c r="I50" s="16"/>
      <c r="J50" s="14"/>
      <c r="K50" s="16"/>
      <c r="L50" s="16"/>
      <c r="M50" s="16"/>
      <c r="N50" s="16"/>
      <c r="O50" s="15">
        <f>SUM(C50:N50)</f>
        <v>0</v>
      </c>
      <c r="P50" s="14"/>
      <c r="Q50" s="60">
        <f>Q48-Q49</f>
        <v>0</v>
      </c>
      <c r="AD50" s="29" t="s">
        <v>18</v>
      </c>
      <c r="AE50" s="27">
        <f>SUM(AE47:AE49)</f>
        <v>162739.5</v>
      </c>
      <c r="AF50" s="27">
        <f>SUM(AF47:AF49)</f>
        <v>121906.68</v>
      </c>
      <c r="AG50" s="27">
        <f>SUM(AG47:AG49)</f>
        <v>259051.69500000001</v>
      </c>
      <c r="AH50" s="42">
        <f>SUM(AH47:AH49)</f>
        <v>213336.69</v>
      </c>
      <c r="AI50" s="42">
        <f>AI48</f>
        <v>594295.06499999994</v>
      </c>
    </row>
    <row r="51" spans="2:35" hidden="1" x14ac:dyDescent="0.45">
      <c r="B51" s="29" t="s">
        <v>18</v>
      </c>
      <c r="C51" s="27">
        <f>SUM(C48:C50)</f>
        <v>81369.75</v>
      </c>
      <c r="D51" s="27">
        <f>SUM(D48:D50)</f>
        <v>29589</v>
      </c>
      <c r="E51" s="27">
        <f>SUM(E48:E50)</f>
        <v>51780.750000000007</v>
      </c>
      <c r="F51" s="27">
        <f>SUM(F48:F50)</f>
        <v>22857.502499999999</v>
      </c>
      <c r="G51" s="27">
        <f>SUM(G48:G50)</f>
        <v>22857.502499999999</v>
      </c>
      <c r="H51" s="27">
        <f>SUM(H48:H50)</f>
        <v>76191.675000000003</v>
      </c>
      <c r="I51" s="27">
        <f>SUM(I48:I50)</f>
        <v>83810.842499999999</v>
      </c>
      <c r="J51" s="28">
        <f>SUM(J48:J50)</f>
        <v>83810.842499999999</v>
      </c>
      <c r="K51" s="27">
        <f>SUM(K48:K50)</f>
        <v>91430.01</v>
      </c>
      <c r="L51" s="27">
        <f>SUM(L48:L50)</f>
        <v>91430.01</v>
      </c>
      <c r="M51" s="27">
        <f>SUM(M48:M50)</f>
        <v>38095.837500000001</v>
      </c>
      <c r="N51" s="27">
        <f>SUM(N48:N50)</f>
        <v>83810.842499999999</v>
      </c>
      <c r="O51" s="26">
        <f>SUM(C51:N51)</f>
        <v>757034.56500000006</v>
      </c>
      <c r="P51" s="7"/>
      <c r="Q51" s="13"/>
      <c r="AD51" s="41" t="s">
        <v>17</v>
      </c>
      <c r="AE51" s="39"/>
      <c r="AF51" s="39"/>
      <c r="AG51" s="39"/>
      <c r="AH51" s="18"/>
      <c r="AI51" s="18"/>
    </row>
    <row r="52" spans="2:35" hidden="1" x14ac:dyDescent="0.45">
      <c r="B52" s="41" t="s">
        <v>17</v>
      </c>
      <c r="C52" s="39"/>
      <c r="D52" s="39"/>
      <c r="E52" s="39"/>
      <c r="F52" s="39"/>
      <c r="G52" s="39"/>
      <c r="H52" s="39"/>
      <c r="I52" s="39"/>
      <c r="J52" s="40"/>
      <c r="K52" s="39"/>
      <c r="L52" s="39"/>
      <c r="M52" s="39"/>
      <c r="N52" s="39"/>
      <c r="O52" s="38">
        <f>SUM(C52:N52)</f>
        <v>0</v>
      </c>
      <c r="P52" s="14"/>
      <c r="Q52" s="13"/>
      <c r="AD52" s="34" t="s">
        <v>16</v>
      </c>
      <c r="AE52" s="16"/>
      <c r="AF52" s="16"/>
      <c r="AG52" s="16"/>
      <c r="AH52" s="18"/>
      <c r="AI52" s="18"/>
    </row>
    <row r="53" spans="2:35" hidden="1" x14ac:dyDescent="0.45">
      <c r="B53" s="34" t="s">
        <v>16</v>
      </c>
      <c r="C53" s="16"/>
      <c r="D53" s="16"/>
      <c r="E53" s="16"/>
      <c r="F53" s="16"/>
      <c r="G53" s="16"/>
      <c r="H53" s="16"/>
      <c r="I53" s="16"/>
      <c r="J53" s="14"/>
      <c r="K53" s="16"/>
      <c r="L53" s="16"/>
      <c r="M53" s="16"/>
      <c r="N53" s="16"/>
      <c r="O53" s="15"/>
      <c r="P53" s="14"/>
      <c r="Q53" s="13"/>
      <c r="AD53" s="34" t="s">
        <v>15</v>
      </c>
      <c r="AE53" s="16">
        <f>SUM(C54:E54)</f>
        <v>53812.5</v>
      </c>
      <c r="AF53" s="16">
        <f>SUM(F54:H54)</f>
        <v>53812.5</v>
      </c>
      <c r="AG53" s="16">
        <f>SUM(I54:K54)</f>
        <v>53812.5</v>
      </c>
      <c r="AH53" s="30">
        <f>SUM(L54:N54)</f>
        <v>53812.5</v>
      </c>
      <c r="AI53" s="30">
        <f>AF53+AG53+AH53+AE53</f>
        <v>215250</v>
      </c>
    </row>
    <row r="54" spans="2:35" hidden="1" x14ac:dyDescent="0.45">
      <c r="B54" s="34" t="s">
        <v>15</v>
      </c>
      <c r="C54" s="16">
        <f>[1]CDR!$F$21/12</f>
        <v>17937.5</v>
      </c>
      <c r="D54" s="16">
        <f>[1]CDR!$F$21/12</f>
        <v>17937.5</v>
      </c>
      <c r="E54" s="16">
        <f>[1]CDR!$F$21/12</f>
        <v>17937.5</v>
      </c>
      <c r="F54" s="16">
        <f>[1]CDR!$F$21/12</f>
        <v>17937.5</v>
      </c>
      <c r="G54" s="16">
        <f>[1]CDR!$F$21/12</f>
        <v>17937.5</v>
      </c>
      <c r="H54" s="16">
        <f>[1]CDR!$F$21/12</f>
        <v>17937.5</v>
      </c>
      <c r="I54" s="16">
        <f>[1]CDR!$F$21/12</f>
        <v>17937.5</v>
      </c>
      <c r="J54" s="14">
        <f>[1]CDR!$F$21/12</f>
        <v>17937.5</v>
      </c>
      <c r="K54" s="16">
        <f>[1]CDR!$F$21/12</f>
        <v>17937.5</v>
      </c>
      <c r="L54" s="16">
        <f>[1]CDR!$F$21/12</f>
        <v>17937.5</v>
      </c>
      <c r="M54" s="16">
        <f>[1]CDR!$F$21/12</f>
        <v>17937.5</v>
      </c>
      <c r="N54" s="16">
        <f>[1]CDR!$F$21/12</f>
        <v>17937.5</v>
      </c>
      <c r="O54" s="15">
        <f>SUM(C54:N54)</f>
        <v>215250</v>
      </c>
      <c r="P54" s="14"/>
      <c r="Q54" s="13"/>
      <c r="AD54" s="37" t="s">
        <v>14</v>
      </c>
      <c r="AE54" s="16">
        <f>SUM(C55:E55)</f>
        <v>26906.25</v>
      </c>
      <c r="AF54" s="16">
        <f>SUM(F55:H55)</f>
        <v>26906.25</v>
      </c>
      <c r="AG54" s="16">
        <f>SUM(I55:K55)</f>
        <v>26906.25</v>
      </c>
      <c r="AH54" s="30">
        <f>SUM(L55:N55)</f>
        <v>26906.25</v>
      </c>
      <c r="AI54" s="30">
        <f>AF54+AG54+AH54+AE54</f>
        <v>107625</v>
      </c>
    </row>
    <row r="55" spans="2:35" hidden="1" x14ac:dyDescent="0.45">
      <c r="B55" s="37" t="s">
        <v>14</v>
      </c>
      <c r="C55" s="16">
        <f>[1]CDR!$F$23/12</f>
        <v>8968.75</v>
      </c>
      <c r="D55" s="16">
        <f>[1]CDR!$F23/12</f>
        <v>8968.75</v>
      </c>
      <c r="E55" s="16">
        <f>[1]CDR!$F23/12</f>
        <v>8968.75</v>
      </c>
      <c r="F55" s="16">
        <f>[1]CDR!$F23/12</f>
        <v>8968.75</v>
      </c>
      <c r="G55" s="16">
        <f>[1]CDR!$F23/12</f>
        <v>8968.75</v>
      </c>
      <c r="H55" s="16">
        <f>[1]CDR!$F23/12</f>
        <v>8968.75</v>
      </c>
      <c r="I55" s="16">
        <f>[1]CDR!$F23/12</f>
        <v>8968.75</v>
      </c>
      <c r="J55" s="14">
        <f>[1]CDR!$F23/12</f>
        <v>8968.75</v>
      </c>
      <c r="K55" s="16">
        <f>[1]CDR!$F23/12</f>
        <v>8968.75</v>
      </c>
      <c r="L55" s="16">
        <f>[1]CDR!$F23/12</f>
        <v>8968.75</v>
      </c>
      <c r="M55" s="16">
        <f>[1]CDR!$F23/12</f>
        <v>8968.75</v>
      </c>
      <c r="N55" s="16">
        <f>[1]CDR!$F$23/12</f>
        <v>8968.75</v>
      </c>
      <c r="O55" s="15">
        <f>SUM(C55:N55)</f>
        <v>107625</v>
      </c>
      <c r="P55" s="14"/>
      <c r="Q55" s="13"/>
      <c r="AD55" s="34" t="s">
        <v>13</v>
      </c>
      <c r="AE55" s="16">
        <f>SUM(C56:E56)</f>
        <v>4125</v>
      </c>
      <c r="AF55" s="16">
        <f>SUM(F56:H56)</f>
        <v>4125</v>
      </c>
      <c r="AG55" s="16">
        <f>SUM(I56:K56)</f>
        <v>4125</v>
      </c>
      <c r="AH55" s="30">
        <f>SUM(L56:N56)</f>
        <v>4125</v>
      </c>
      <c r="AI55" s="30">
        <f>AF55+AG55+AH55+AE55</f>
        <v>16500</v>
      </c>
    </row>
    <row r="56" spans="2:35" hidden="1" x14ac:dyDescent="0.45">
      <c r="B56" s="34" t="s">
        <v>13</v>
      </c>
      <c r="C56" s="16">
        <f>'[1]Tableau des ChPr'!$H$12/12</f>
        <v>1375</v>
      </c>
      <c r="D56" s="16">
        <f>'[1]Tableau des ChPr'!$H$12/12</f>
        <v>1375</v>
      </c>
      <c r="E56" s="16">
        <f>'[1]Tableau des ChPr'!$H$12/12</f>
        <v>1375</v>
      </c>
      <c r="F56" s="16">
        <f>'[1]Tableau des ChPr'!$H$12/12</f>
        <v>1375</v>
      </c>
      <c r="G56" s="16">
        <f>'[1]Tableau des ChPr'!$H$12/12</f>
        <v>1375</v>
      </c>
      <c r="H56" s="16">
        <f>'[1]Tableau des ChPr'!$H$12/12</f>
        <v>1375</v>
      </c>
      <c r="I56" s="16">
        <f>'[1]Tableau des ChPr'!$H$12/12</f>
        <v>1375</v>
      </c>
      <c r="J56" s="14">
        <f>'[1]Tableau des ChPr'!$H$12/12</f>
        <v>1375</v>
      </c>
      <c r="K56" s="16">
        <f>'[1]Tableau des ChPr'!$H$12/12</f>
        <v>1375</v>
      </c>
      <c r="L56" s="16">
        <f>'[1]Tableau des ChPr'!$H$12/12</f>
        <v>1375</v>
      </c>
      <c r="M56" s="16">
        <f>'[1]Tableau des ChPr'!$H$12/12</f>
        <v>1375</v>
      </c>
      <c r="N56" s="16">
        <f>'[1]Tableau des ChPr'!$H$12/12</f>
        <v>1375</v>
      </c>
      <c r="O56" s="15">
        <f>SUM(C56:N56)</f>
        <v>16500</v>
      </c>
      <c r="P56" s="14"/>
      <c r="Q56" s="13"/>
      <c r="AD56" s="34" t="s">
        <v>12</v>
      </c>
      <c r="AE56" s="16">
        <f>SUM(C57:E57)</f>
        <v>1551</v>
      </c>
      <c r="AF56" s="16">
        <f>SUM(F57:H57)</f>
        <v>1551</v>
      </c>
      <c r="AG56" s="16">
        <f>SUM(I57:K57)</f>
        <v>1551</v>
      </c>
      <c r="AH56" s="30">
        <f>SUM(L57:N57)</f>
        <v>1551</v>
      </c>
      <c r="AI56" s="30">
        <f>AF56+AG56+AH56+AE56</f>
        <v>6204</v>
      </c>
    </row>
    <row r="57" spans="2:35" hidden="1" x14ac:dyDescent="0.45">
      <c r="B57" s="34" t="s">
        <v>12</v>
      </c>
      <c r="C57" s="16">
        <v>517</v>
      </c>
      <c r="D57" s="16">
        <v>517</v>
      </c>
      <c r="E57" s="16">
        <v>517</v>
      </c>
      <c r="F57" s="16">
        <v>517</v>
      </c>
      <c r="G57" s="16">
        <v>517</v>
      </c>
      <c r="H57" s="16">
        <v>517</v>
      </c>
      <c r="I57" s="16">
        <v>517</v>
      </c>
      <c r="J57" s="14">
        <v>517</v>
      </c>
      <c r="K57" s="16">
        <v>517</v>
      </c>
      <c r="L57" s="16">
        <v>517</v>
      </c>
      <c r="M57" s="16">
        <v>517</v>
      </c>
      <c r="N57" s="16">
        <v>517</v>
      </c>
      <c r="O57" s="15"/>
      <c r="P57" s="14"/>
      <c r="Q57" s="13"/>
      <c r="AD57" s="36" t="s">
        <v>11</v>
      </c>
      <c r="AE57" s="35">
        <f>SUM(C58:E58)</f>
        <v>876</v>
      </c>
      <c r="AF57" s="16">
        <f>SUM(F58:H58)</f>
        <v>876</v>
      </c>
      <c r="AG57" s="16">
        <f>SUM(I58:K58)</f>
        <v>876</v>
      </c>
      <c r="AH57" s="30">
        <f>SUM(L58:N58)</f>
        <v>876</v>
      </c>
      <c r="AI57" s="30">
        <f>AF57+AG57+AH57+AE57</f>
        <v>3504</v>
      </c>
    </row>
    <row r="58" spans="2:35" hidden="1" x14ac:dyDescent="0.45">
      <c r="B58" s="36" t="s">
        <v>11</v>
      </c>
      <c r="C58" s="35">
        <f>C37</f>
        <v>292</v>
      </c>
      <c r="D58" s="16">
        <f>D37</f>
        <v>292</v>
      </c>
      <c r="E58" s="16">
        <f>E37</f>
        <v>292</v>
      </c>
      <c r="F58" s="16">
        <f>F37</f>
        <v>292</v>
      </c>
      <c r="G58" s="16">
        <f>G37</f>
        <v>292</v>
      </c>
      <c r="H58" s="16">
        <f>H37</f>
        <v>292</v>
      </c>
      <c r="I58" s="16">
        <f>I37</f>
        <v>292</v>
      </c>
      <c r="J58" s="14">
        <f>J37</f>
        <v>292</v>
      </c>
      <c r="K58" s="16">
        <f>K37</f>
        <v>292</v>
      </c>
      <c r="L58" s="16">
        <f>L37</f>
        <v>292</v>
      </c>
      <c r="M58" s="16">
        <f>M37</f>
        <v>292</v>
      </c>
      <c r="N58" s="16">
        <f>N37</f>
        <v>292</v>
      </c>
      <c r="O58" s="15">
        <f>SUM(C58:N58)</f>
        <v>3504</v>
      </c>
      <c r="P58" s="14"/>
      <c r="Q58" s="13"/>
      <c r="AD58" s="34" t="s">
        <v>10</v>
      </c>
      <c r="AE58" s="16">
        <f>SUM(C59:E59)</f>
        <v>0</v>
      </c>
      <c r="AF58" s="16">
        <f>SUM(F59:H59)</f>
        <v>70091.767445081845</v>
      </c>
      <c r="AG58" s="16">
        <f>SUM(I59:K59)</f>
        <v>0</v>
      </c>
      <c r="AH58" s="30">
        <f>SUM(L59:N59)</f>
        <v>1575</v>
      </c>
      <c r="AI58" s="30">
        <f>AF58+AG58+AH58+AE58</f>
        <v>71666.767445081845</v>
      </c>
    </row>
    <row r="59" spans="2:35" hidden="1" x14ac:dyDescent="0.45">
      <c r="B59" s="34" t="s">
        <v>10</v>
      </c>
      <c r="C59" s="16"/>
      <c r="D59" s="16"/>
      <c r="E59" s="16"/>
      <c r="F59" s="16">
        <f>[1]CDR!E49</f>
        <v>70091.767445081845</v>
      </c>
      <c r="G59" s="16"/>
      <c r="H59" s="16"/>
      <c r="I59" s="16"/>
      <c r="J59" s="14"/>
      <c r="K59" s="16"/>
      <c r="L59" s="16"/>
      <c r="M59" s="16"/>
      <c r="N59" s="16">
        <f>[1]SIG!D19</f>
        <v>1575</v>
      </c>
      <c r="O59" s="15"/>
      <c r="P59" s="14"/>
      <c r="Q59" s="13"/>
      <c r="AD59" s="34" t="s">
        <v>9</v>
      </c>
      <c r="AE59" s="16">
        <f>SUM(C60:E60)</f>
        <v>24842.848901637037</v>
      </c>
      <c r="AF59" s="16">
        <f>SUM(F60:H60)</f>
        <v>24842.848901637037</v>
      </c>
      <c r="AG59" s="16">
        <f>SUM(I60:K60)</f>
        <v>24842.848901637037</v>
      </c>
      <c r="AH59" s="30">
        <f>SUM(L60:N60)</f>
        <v>24842.848901637037</v>
      </c>
      <c r="AI59" s="30">
        <f>AF59+AG59+AH59+AE59</f>
        <v>99371.395606548147</v>
      </c>
    </row>
    <row r="60" spans="2:35" hidden="1" x14ac:dyDescent="0.45">
      <c r="B60" s="34" t="s">
        <v>9</v>
      </c>
      <c r="C60" s="16">
        <f>$W9/12</f>
        <v>8280.9496338790123</v>
      </c>
      <c r="D60" s="16">
        <f>$W9/12</f>
        <v>8280.9496338790123</v>
      </c>
      <c r="E60" s="16">
        <f>$W9/12</f>
        <v>8280.9496338790123</v>
      </c>
      <c r="F60" s="16">
        <f>$W9/12</f>
        <v>8280.9496338790123</v>
      </c>
      <c r="G60" s="16">
        <f>$W9/12</f>
        <v>8280.9496338790123</v>
      </c>
      <c r="H60" s="16">
        <f>$W9/12</f>
        <v>8280.9496338790123</v>
      </c>
      <c r="I60" s="16">
        <f>$W9/12</f>
        <v>8280.9496338790123</v>
      </c>
      <c r="J60" s="14">
        <f>$W9/12</f>
        <v>8280.9496338790123</v>
      </c>
      <c r="K60" s="16">
        <f>$W9/12</f>
        <v>8280.9496338790123</v>
      </c>
      <c r="L60" s="16">
        <f>$W9/12</f>
        <v>8280.9496338790123</v>
      </c>
      <c r="M60" s="16">
        <f>$W9/12</f>
        <v>8280.9496338790123</v>
      </c>
      <c r="N60" s="16">
        <f>$W9/12</f>
        <v>8280.9496338790123</v>
      </c>
      <c r="O60" s="15"/>
      <c r="P60" s="14"/>
      <c r="Q60" s="13"/>
      <c r="S60"/>
      <c r="T60"/>
      <c r="U60"/>
      <c r="V60"/>
      <c r="W60"/>
      <c r="X60"/>
      <c r="Y60"/>
      <c r="Z60"/>
      <c r="AA60"/>
      <c r="AB60"/>
      <c r="AC60"/>
      <c r="AD60" s="34" t="s">
        <v>8</v>
      </c>
      <c r="AE60" s="16">
        <f>SUM(C61:E61)</f>
        <v>18150</v>
      </c>
      <c r="AF60" s="16">
        <f>SUM(F61:H61)</f>
        <v>18150</v>
      </c>
      <c r="AG60" s="16">
        <f>SUM(I61:K61)</f>
        <v>18150</v>
      </c>
      <c r="AH60" s="30">
        <f>SUM(L61:N61)</f>
        <v>18150</v>
      </c>
      <c r="AI60" s="30">
        <f>AF60+AG60+AH60+AE60</f>
        <v>72600</v>
      </c>
    </row>
    <row r="61" spans="2:35" hidden="1" x14ac:dyDescent="0.45">
      <c r="B61" s="34" t="s">
        <v>8</v>
      </c>
      <c r="C61" s="16">
        <v>6050</v>
      </c>
      <c r="D61" s="16">
        <v>6050</v>
      </c>
      <c r="E61" s="16">
        <v>6050</v>
      </c>
      <c r="F61" s="16">
        <v>6050</v>
      </c>
      <c r="G61" s="16">
        <v>6050</v>
      </c>
      <c r="H61" s="16">
        <v>6050</v>
      </c>
      <c r="I61" s="16">
        <v>6050</v>
      </c>
      <c r="J61" s="14">
        <v>6050</v>
      </c>
      <c r="K61" s="16">
        <v>6050</v>
      </c>
      <c r="L61" s="16">
        <v>6050</v>
      </c>
      <c r="M61" s="16">
        <v>6050</v>
      </c>
      <c r="N61" s="16">
        <v>6050</v>
      </c>
      <c r="O61" s="15">
        <f>SUM(C61:N61)</f>
        <v>72600</v>
      </c>
      <c r="P61" s="14"/>
      <c r="Q61" s="13"/>
      <c r="S61"/>
      <c r="T61"/>
      <c r="U61"/>
      <c r="V61"/>
      <c r="W61"/>
      <c r="X61"/>
      <c r="Y61"/>
      <c r="Z61"/>
      <c r="AA61"/>
      <c r="AB61"/>
      <c r="AC61"/>
      <c r="AD61" s="33" t="s">
        <v>7</v>
      </c>
      <c r="AE61" s="32">
        <f>SUM(AE51:AE60)</f>
        <v>130263.59890163704</v>
      </c>
      <c r="AF61" s="32">
        <f>SUM(AF51:AF60)</f>
        <v>200355.36634671889</v>
      </c>
      <c r="AG61" s="32">
        <f>SUM(AG51:AG60)</f>
        <v>130263.59890163704</v>
      </c>
      <c r="AH61" s="31">
        <f>SUM(AH51:AH60)</f>
        <v>131838.59890163704</v>
      </c>
      <c r="AI61" s="30"/>
    </row>
    <row r="62" spans="2:35" hidden="1" x14ac:dyDescent="0.45">
      <c r="B62" s="29" t="s">
        <v>7</v>
      </c>
      <c r="C62" s="27">
        <f>SUM(C52:C61)</f>
        <v>43421.199633879012</v>
      </c>
      <c r="D62" s="27">
        <f>SUM(D52:D61)</f>
        <v>43421.199633879012</v>
      </c>
      <c r="E62" s="27">
        <f>SUM(E52:E61)</f>
        <v>43421.199633879012</v>
      </c>
      <c r="F62" s="27">
        <f>SUM(F52:F61)</f>
        <v>113512.96707896085</v>
      </c>
      <c r="G62" s="27">
        <f>SUM(G52:G61)</f>
        <v>43421.199633879012</v>
      </c>
      <c r="H62" s="27">
        <f>SUM(H52:H61)</f>
        <v>43421.199633879012</v>
      </c>
      <c r="I62" s="27">
        <f>SUM(I52:I61)</f>
        <v>43421.199633879012</v>
      </c>
      <c r="J62" s="28">
        <f>SUM(J52:J61)</f>
        <v>43421.199633879012</v>
      </c>
      <c r="K62" s="27">
        <f>SUM(K52:K61)</f>
        <v>43421.199633879012</v>
      </c>
      <c r="L62" s="27">
        <f>SUM(L52:L61)</f>
        <v>43421.199633879012</v>
      </c>
      <c r="M62" s="27">
        <f>SUM(M52:M61)</f>
        <v>43421.199633879012</v>
      </c>
      <c r="N62" s="27">
        <f>SUM(N52:N61)</f>
        <v>44996.199633879012</v>
      </c>
      <c r="O62" s="26"/>
      <c r="P62" s="7"/>
      <c r="Q62" s="13"/>
      <c r="S62"/>
      <c r="T62"/>
      <c r="U62"/>
      <c r="V62"/>
      <c r="W62"/>
      <c r="X62"/>
      <c r="Y62"/>
      <c r="Z62"/>
      <c r="AA62"/>
      <c r="AB62"/>
      <c r="AC62"/>
      <c r="AD62" s="23" t="s">
        <v>6</v>
      </c>
      <c r="AE62" s="21">
        <f>AI44</f>
        <v>187265.95878690365</v>
      </c>
      <c r="AF62" s="21">
        <f>AE64</f>
        <v>219741.8598852666</v>
      </c>
      <c r="AG62" s="21">
        <f>AF64</f>
        <v>141293.17353854771</v>
      </c>
      <c r="AH62" s="25">
        <f>AG64</f>
        <v>270081.26963691064</v>
      </c>
      <c r="AI62" s="24"/>
    </row>
    <row r="63" spans="2:35" hidden="1" x14ac:dyDescent="0.45">
      <c r="B63" s="23" t="s">
        <v>6</v>
      </c>
      <c r="C63" s="21">
        <f>N45</f>
        <v>337265.95878690382</v>
      </c>
      <c r="D63" s="21">
        <f>C65</f>
        <v>375214.50915302482</v>
      </c>
      <c r="E63" s="21">
        <f>D65</f>
        <v>361382.30951914581</v>
      </c>
      <c r="F63" s="21">
        <f>E65</f>
        <v>369741.85988526681</v>
      </c>
      <c r="G63" s="21">
        <f>F65</f>
        <v>279086.39530630596</v>
      </c>
      <c r="H63" s="21">
        <f>G65</f>
        <v>258522.69817242696</v>
      </c>
      <c r="I63" s="21">
        <f>H65</f>
        <v>291293.17353854794</v>
      </c>
      <c r="J63" s="22">
        <f>I65</f>
        <v>331682.81640466891</v>
      </c>
      <c r="K63" s="21">
        <f>J65</f>
        <v>372072.45927078987</v>
      </c>
      <c r="L63" s="21">
        <f>K65</f>
        <v>420081.26963691087</v>
      </c>
      <c r="M63" s="21">
        <f>L65</f>
        <v>468090.08000303188</v>
      </c>
      <c r="N63" s="21">
        <f>M65</f>
        <v>462764.7178691529</v>
      </c>
      <c r="O63" s="20"/>
      <c r="P63" s="14"/>
      <c r="Q63" s="13"/>
      <c r="S63"/>
      <c r="T63"/>
      <c r="U63"/>
      <c r="V63"/>
      <c r="W63"/>
      <c r="X63"/>
      <c r="Y63"/>
      <c r="Z63"/>
      <c r="AA63"/>
      <c r="AB63"/>
      <c r="AC63"/>
      <c r="AD63" s="17" t="s">
        <v>5</v>
      </c>
      <c r="AE63" s="16">
        <f>AE50-AE61</f>
        <v>32475.901098362956</v>
      </c>
      <c r="AF63" s="16">
        <f>AF50-AF61</f>
        <v>-78448.686346718896</v>
      </c>
      <c r="AG63" s="16">
        <f>AG50-AG61</f>
        <v>128788.09609836296</v>
      </c>
      <c r="AH63" s="19">
        <f>AH50-AH61</f>
        <v>81498.091098362958</v>
      </c>
      <c r="AI63" s="18"/>
    </row>
    <row r="64" spans="2:35" ht="16.5" hidden="1" customHeight="1" x14ac:dyDescent="0.45">
      <c r="B64" s="17" t="s">
        <v>4</v>
      </c>
      <c r="C64" s="16">
        <f>C51-C62</f>
        <v>37948.550366120988</v>
      </c>
      <c r="D64" s="16">
        <f>D51-D62</f>
        <v>-13832.199633879012</v>
      </c>
      <c r="E64" s="16">
        <f>E51-E62</f>
        <v>8359.550366120995</v>
      </c>
      <c r="F64" s="16">
        <f>F51-F62</f>
        <v>-90655.464578960848</v>
      </c>
      <c r="G64" s="16">
        <f>G51-G62</f>
        <v>-20563.697133879014</v>
      </c>
      <c r="H64" s="16">
        <f>H51-H62</f>
        <v>32770.475366120991</v>
      </c>
      <c r="I64" s="16">
        <f>I51-I62</f>
        <v>40389.642866120987</v>
      </c>
      <c r="J64" s="14">
        <f>J51-J62</f>
        <v>40389.642866120987</v>
      </c>
      <c r="K64" s="16">
        <f>K51-K62</f>
        <v>48008.810366120983</v>
      </c>
      <c r="L64" s="16">
        <f>L51-L62</f>
        <v>48008.810366120983</v>
      </c>
      <c r="M64" s="16">
        <f>M51-M62</f>
        <v>-5325.3621338790108</v>
      </c>
      <c r="N64" s="16">
        <f>N51-N62</f>
        <v>38814.642866120987</v>
      </c>
      <c r="O64" s="15"/>
      <c r="P64" s="14"/>
      <c r="Q64" s="13"/>
      <c r="S64"/>
      <c r="T64"/>
      <c r="U64"/>
      <c r="V64"/>
      <c r="W64"/>
      <c r="X64"/>
      <c r="Y64"/>
      <c r="Z64"/>
      <c r="AA64"/>
      <c r="AB64"/>
      <c r="AC64"/>
      <c r="AD64" s="11" t="s">
        <v>3</v>
      </c>
      <c r="AE64" s="9">
        <f>AE62+AE63</f>
        <v>219741.8598852666</v>
      </c>
      <c r="AF64" s="9">
        <f>AF62+AF63</f>
        <v>141293.17353854771</v>
      </c>
      <c r="AG64" s="9">
        <f>AG62+AG63</f>
        <v>270081.26963691064</v>
      </c>
      <c r="AH64" s="9">
        <f>AH62+AH63</f>
        <v>351579.36073527357</v>
      </c>
      <c r="AI64" s="12">
        <f>AH64</f>
        <v>351579.36073527357</v>
      </c>
    </row>
    <row r="65" spans="2:35" hidden="1" x14ac:dyDescent="0.45">
      <c r="B65" s="11" t="s">
        <v>3</v>
      </c>
      <c r="C65" s="9">
        <f>C63+C64</f>
        <v>375214.50915302482</v>
      </c>
      <c r="D65" s="9">
        <f>D63+D64</f>
        <v>361382.30951914581</v>
      </c>
      <c r="E65" s="9">
        <f>E63+E64</f>
        <v>369741.85988526681</v>
      </c>
      <c r="F65" s="9">
        <f>F63+F64</f>
        <v>279086.39530630596</v>
      </c>
      <c r="G65" s="9">
        <f>G63+G64</f>
        <v>258522.69817242696</v>
      </c>
      <c r="H65" s="9">
        <f>H63+H64</f>
        <v>291293.17353854794</v>
      </c>
      <c r="I65" s="9">
        <f>I63+I64</f>
        <v>331682.81640466891</v>
      </c>
      <c r="J65" s="10">
        <f>J63+J64</f>
        <v>372072.45927078987</v>
      </c>
      <c r="K65" s="9">
        <f>K63+K64</f>
        <v>420081.26963691087</v>
      </c>
      <c r="L65" s="9">
        <f>L63+L64</f>
        <v>468090.08000303188</v>
      </c>
      <c r="M65" s="9">
        <f>M63+M64</f>
        <v>462764.7178691529</v>
      </c>
      <c r="N65" s="9">
        <f>N63+N64</f>
        <v>501579.36073527386</v>
      </c>
      <c r="O65" s="8">
        <f>N65</f>
        <v>501579.36073527386</v>
      </c>
      <c r="P65" s="7"/>
      <c r="Q65" s="6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2:35" ht="28.5" hidden="1" customHeight="1" x14ac:dyDescent="0.45">
      <c r="C66" s="59"/>
      <c r="D66" s="59"/>
      <c r="E66" s="59"/>
      <c r="F66" s="59"/>
      <c r="G66" s="59"/>
      <c r="H66" s="59"/>
      <c r="I66" s="59"/>
      <c r="J66" s="58"/>
      <c r="K66" s="59"/>
      <c r="L66" s="59"/>
      <c r="M66" s="59"/>
      <c r="N66" s="59"/>
      <c r="O66" s="58"/>
      <c r="P66" s="58"/>
      <c r="S66"/>
      <c r="T66"/>
      <c r="U66"/>
      <c r="V66"/>
      <c r="W66"/>
      <c r="X66"/>
      <c r="Y66"/>
      <c r="Z66"/>
      <c r="AA66"/>
      <c r="AB66"/>
      <c r="AC66"/>
      <c r="AD66" s="57" t="s">
        <v>36</v>
      </c>
      <c r="AE66" s="56" t="s">
        <v>41</v>
      </c>
      <c r="AF66" s="55" t="s">
        <v>40</v>
      </c>
      <c r="AG66" s="55" t="s">
        <v>39</v>
      </c>
      <c r="AH66" s="55" t="s">
        <v>38</v>
      </c>
      <c r="AI66" s="54" t="s">
        <v>37</v>
      </c>
    </row>
    <row r="67" spans="2:35" hidden="1" x14ac:dyDescent="0.45">
      <c r="B67" s="53" t="s">
        <v>36</v>
      </c>
      <c r="C67" s="51" t="s">
        <v>35</v>
      </c>
      <c r="D67" s="51" t="s">
        <v>34</v>
      </c>
      <c r="E67" s="51" t="s">
        <v>33</v>
      </c>
      <c r="F67" s="51" t="s">
        <v>32</v>
      </c>
      <c r="G67" s="51" t="s">
        <v>31</v>
      </c>
      <c r="H67" s="51" t="s">
        <v>30</v>
      </c>
      <c r="I67" s="51" t="s">
        <v>29</v>
      </c>
      <c r="J67" s="52" t="s">
        <v>28</v>
      </c>
      <c r="K67" s="51" t="s">
        <v>27</v>
      </c>
      <c r="L67" s="51" t="s">
        <v>26</v>
      </c>
      <c r="M67" s="51" t="s">
        <v>25</v>
      </c>
      <c r="N67" s="51" t="s">
        <v>24</v>
      </c>
      <c r="O67" s="50" t="s">
        <v>23</v>
      </c>
      <c r="P67" s="49"/>
      <c r="Q67" s="48" t="s">
        <v>22</v>
      </c>
      <c r="S67"/>
      <c r="T67"/>
      <c r="U67"/>
      <c r="V67"/>
      <c r="W67"/>
      <c r="X67"/>
      <c r="Y67"/>
      <c r="Z67"/>
      <c r="AA67"/>
      <c r="AB67"/>
      <c r="AC67"/>
      <c r="AD67" s="17" t="s">
        <v>21</v>
      </c>
      <c r="AE67" s="39">
        <f>SUM(C68:E68)</f>
        <v>0</v>
      </c>
      <c r="AF67" s="39"/>
      <c r="AG67" s="39"/>
      <c r="AH67" s="18"/>
      <c r="AI67" s="18"/>
    </row>
    <row r="68" spans="2:35" hidden="1" x14ac:dyDescent="0.45">
      <c r="B68" s="47" t="s">
        <v>21</v>
      </c>
      <c r="C68" s="39"/>
      <c r="D68" s="39"/>
      <c r="E68" s="39"/>
      <c r="F68" s="39"/>
      <c r="G68" s="39"/>
      <c r="H68" s="39"/>
      <c r="I68" s="39"/>
      <c r="J68" s="40"/>
      <c r="K68" s="39"/>
      <c r="L68" s="39"/>
      <c r="M68" s="39"/>
      <c r="N68" s="39"/>
      <c r="O68" s="38"/>
      <c r="P68" s="14"/>
      <c r="Q68" s="45">
        <f>SUM(F69:N69)+SUM(C88:H88)</f>
        <v>784774.25249999994</v>
      </c>
      <c r="S68"/>
      <c r="T68"/>
      <c r="U68"/>
      <c r="V68"/>
      <c r="W68"/>
      <c r="X68"/>
      <c r="Y68"/>
      <c r="Z68"/>
      <c r="AA68"/>
      <c r="AB68"/>
      <c r="AC68"/>
      <c r="AD68" s="46" t="s">
        <v>20</v>
      </c>
      <c r="AE68" s="35">
        <f>SUM(C69:E69)</f>
        <v>167621.685</v>
      </c>
      <c r="AF68" s="16">
        <f>F69+G69+H69</f>
        <v>125563.88040000002</v>
      </c>
      <c r="AG68" s="16">
        <f>I69+J69+K69</f>
        <v>266823.24585000001</v>
      </c>
      <c r="AH68" s="30">
        <f>L69+M69+N69</f>
        <v>219736.79070000001</v>
      </c>
      <c r="AI68" s="30">
        <f>AF68+AG68+AH68</f>
        <v>612123.91694999998</v>
      </c>
    </row>
    <row r="69" spans="2:35" hidden="1" x14ac:dyDescent="0.45">
      <c r="B69" s="17" t="s">
        <v>20</v>
      </c>
      <c r="C69" s="16">
        <f>[1]CDR!F8*$U36</f>
        <v>83810.842499999999</v>
      </c>
      <c r="D69" s="16">
        <f>[1]CDR!F8*$U37</f>
        <v>30476.670000000002</v>
      </c>
      <c r="E69" s="16">
        <f>[1]CDR!F8*$U38</f>
        <v>53334.172500000008</v>
      </c>
      <c r="F69" s="16">
        <f>[1]CDR!G8*$U27</f>
        <v>23543.227575000001</v>
      </c>
      <c r="G69" s="16">
        <f>[1]CDR!G8*$U28</f>
        <v>23543.227575000001</v>
      </c>
      <c r="H69" s="16">
        <f>[1]CDR!G8*$U29</f>
        <v>78477.425250000015</v>
      </c>
      <c r="I69" s="16">
        <f>[1]CDR!G8*$U30</f>
        <v>86325.167775000009</v>
      </c>
      <c r="J69" s="14">
        <f>[1]CDR!G8*$U31</f>
        <v>86325.167775000009</v>
      </c>
      <c r="K69" s="16">
        <f>[1]CDR!G8*$U32</f>
        <v>94172.910300000003</v>
      </c>
      <c r="L69" s="16">
        <f>[1]CDR!G8*$U33</f>
        <v>94172.910300000003</v>
      </c>
      <c r="M69" s="16">
        <f>[1]CDR!G8*$U34</f>
        <v>39238.712625000007</v>
      </c>
      <c r="N69" s="16">
        <f>[1]CDR!G8*$U35</f>
        <v>86325.167775000009</v>
      </c>
      <c r="O69" s="15">
        <f>SUM(C69:K69)</f>
        <v>560008.81125000003</v>
      </c>
      <c r="P69" s="14"/>
      <c r="Q69" s="45">
        <f>[1]CDR!G7</f>
        <v>784774.25250000006</v>
      </c>
      <c r="S69"/>
      <c r="T69"/>
      <c r="U69"/>
      <c r="V69"/>
      <c r="W69"/>
      <c r="X69"/>
      <c r="Y69"/>
      <c r="Z69"/>
      <c r="AA69"/>
      <c r="AB69"/>
      <c r="AC69"/>
      <c r="AD69" s="17" t="s">
        <v>19</v>
      </c>
      <c r="AE69" s="16">
        <f>SUM(C70:E70)</f>
        <v>0</v>
      </c>
      <c r="AF69" s="44"/>
      <c r="AG69" s="16"/>
      <c r="AH69" s="18"/>
      <c r="AI69" s="18"/>
    </row>
    <row r="70" spans="2:35" hidden="1" x14ac:dyDescent="0.45">
      <c r="B70" s="17" t="s">
        <v>19</v>
      </c>
      <c r="C70" s="16"/>
      <c r="D70" s="16"/>
      <c r="E70" s="16"/>
      <c r="F70" s="16"/>
      <c r="G70" s="16"/>
      <c r="H70" s="16"/>
      <c r="I70" s="16"/>
      <c r="J70" s="14"/>
      <c r="K70" s="16"/>
      <c r="L70" s="16"/>
      <c r="M70" s="16"/>
      <c r="N70" s="16"/>
      <c r="O70" s="15">
        <f>SUM(C70:N70)</f>
        <v>0</v>
      </c>
      <c r="P70" s="14"/>
      <c r="Q70" s="43">
        <f>Q68-Q69</f>
        <v>0</v>
      </c>
      <c r="S70"/>
      <c r="T70"/>
      <c r="U70"/>
      <c r="V70"/>
      <c r="W70"/>
      <c r="X70"/>
      <c r="Y70"/>
      <c r="Z70"/>
      <c r="AA70"/>
      <c r="AB70"/>
      <c r="AC70"/>
      <c r="AD70" s="29" t="s">
        <v>18</v>
      </c>
      <c r="AE70" s="27">
        <f>SUM(AE67:AE69)</f>
        <v>167621.685</v>
      </c>
      <c r="AF70" s="27">
        <f>SUM(AF67:AF69)</f>
        <v>125563.88040000002</v>
      </c>
      <c r="AG70" s="27">
        <f>SUM(AG67:AG69)</f>
        <v>266823.24585000001</v>
      </c>
      <c r="AH70" s="42">
        <f>SUM(AH67:AH69)</f>
        <v>219736.79070000001</v>
      </c>
      <c r="AI70" s="42">
        <f>AI68</f>
        <v>612123.91694999998</v>
      </c>
    </row>
    <row r="71" spans="2:35" hidden="1" x14ac:dyDescent="0.45">
      <c r="B71" s="29" t="s">
        <v>18</v>
      </c>
      <c r="C71" s="27">
        <f>SUM(C68:C70)</f>
        <v>83810.842499999999</v>
      </c>
      <c r="D71" s="27">
        <f>SUM(D68:D70)</f>
        <v>30476.670000000002</v>
      </c>
      <c r="E71" s="27">
        <f>SUM(E68:E70)</f>
        <v>53334.172500000008</v>
      </c>
      <c r="F71" s="27">
        <f>SUM(F68:F70)</f>
        <v>23543.227575000001</v>
      </c>
      <c r="G71" s="27">
        <f>SUM(G68:G70)</f>
        <v>23543.227575000001</v>
      </c>
      <c r="H71" s="27">
        <f>SUM(H68:H70)</f>
        <v>78477.425250000015</v>
      </c>
      <c r="I71" s="27">
        <f>SUM(I68:I70)</f>
        <v>86325.167775000009</v>
      </c>
      <c r="J71" s="28">
        <f>SUM(J68:J70)</f>
        <v>86325.167775000009</v>
      </c>
      <c r="K71" s="27">
        <f>SUM(K68:K70)</f>
        <v>94172.910300000003</v>
      </c>
      <c r="L71" s="27">
        <f>SUM(L68:L70)</f>
        <v>94172.910300000003</v>
      </c>
      <c r="M71" s="27">
        <f>SUM(M68:M70)</f>
        <v>39238.712625000007</v>
      </c>
      <c r="N71" s="27">
        <f>SUM(N68:N70)</f>
        <v>86325.167775000009</v>
      </c>
      <c r="O71" s="26">
        <f>SUM(C71:N71)</f>
        <v>779745.60195000004</v>
      </c>
      <c r="P71" s="7"/>
      <c r="Q71" s="13"/>
      <c r="S71"/>
      <c r="T71"/>
      <c r="U71"/>
      <c r="V71"/>
      <c r="W71"/>
      <c r="X71"/>
      <c r="Y71"/>
      <c r="Z71"/>
      <c r="AA71"/>
      <c r="AB71"/>
      <c r="AC71"/>
      <c r="AD71" s="41" t="s">
        <v>17</v>
      </c>
      <c r="AE71" s="39"/>
      <c r="AF71" s="39"/>
      <c r="AG71" s="39"/>
      <c r="AH71" s="18"/>
      <c r="AI71" s="18"/>
    </row>
    <row r="72" spans="2:35" hidden="1" x14ac:dyDescent="0.45">
      <c r="B72" s="41" t="s">
        <v>17</v>
      </c>
      <c r="C72" s="39"/>
      <c r="D72" s="39"/>
      <c r="E72" s="39"/>
      <c r="F72" s="39"/>
      <c r="G72" s="39"/>
      <c r="H72" s="39"/>
      <c r="I72" s="39"/>
      <c r="J72" s="40"/>
      <c r="K72" s="39"/>
      <c r="L72" s="39"/>
      <c r="M72" s="39"/>
      <c r="N72" s="39"/>
      <c r="O72" s="38">
        <f>SUM(C72:N72)</f>
        <v>0</v>
      </c>
      <c r="P72" s="14"/>
      <c r="Q72" s="13"/>
      <c r="S72"/>
      <c r="T72"/>
      <c r="U72"/>
      <c r="V72"/>
      <c r="W72"/>
      <c r="X72"/>
      <c r="Y72"/>
      <c r="Z72"/>
      <c r="AA72"/>
      <c r="AB72"/>
      <c r="AC72"/>
      <c r="AD72" s="34" t="s">
        <v>16</v>
      </c>
      <c r="AE72" s="16"/>
      <c r="AF72" s="16"/>
      <c r="AG72" s="16"/>
      <c r="AH72" s="18"/>
      <c r="AI72" s="18"/>
    </row>
    <row r="73" spans="2:35" hidden="1" x14ac:dyDescent="0.45">
      <c r="B73" s="34" t="s">
        <v>16</v>
      </c>
      <c r="C73" s="16"/>
      <c r="D73" s="16"/>
      <c r="E73" s="16"/>
      <c r="F73" s="16"/>
      <c r="G73" s="16"/>
      <c r="H73" s="16"/>
      <c r="I73" s="16"/>
      <c r="J73" s="14"/>
      <c r="K73" s="16"/>
      <c r="L73" s="16"/>
      <c r="M73" s="16"/>
      <c r="N73" s="16"/>
      <c r="O73" s="15"/>
      <c r="P73" s="14"/>
      <c r="Q73" s="13"/>
      <c r="S73"/>
      <c r="T73"/>
      <c r="U73"/>
      <c r="V73"/>
      <c r="W73"/>
      <c r="X73"/>
      <c r="Y73"/>
      <c r="Z73"/>
      <c r="AA73"/>
      <c r="AB73"/>
      <c r="AC73"/>
      <c r="AD73" s="34" t="s">
        <v>15</v>
      </c>
      <c r="AE73" s="16">
        <f>SUM(C74:E74)</f>
        <v>56503.125</v>
      </c>
      <c r="AF73" s="16">
        <f>SUM(F74:H74)</f>
        <v>56503.125</v>
      </c>
      <c r="AG73" s="16">
        <f>SUM(I74:K74)</f>
        <v>56503.125</v>
      </c>
      <c r="AH73" s="30">
        <f>SUM(L74:N74)</f>
        <v>56503.125</v>
      </c>
      <c r="AI73" s="30">
        <f>AF73+AG73+AH73+AE73</f>
        <v>226012.5</v>
      </c>
    </row>
    <row r="74" spans="2:35" hidden="1" x14ac:dyDescent="0.45">
      <c r="B74" s="34" t="s">
        <v>15</v>
      </c>
      <c r="C74" s="16">
        <f>[1]CDR!$G$21/12</f>
        <v>18834.375</v>
      </c>
      <c r="D74" s="16">
        <f>[1]CDR!$G$21/12</f>
        <v>18834.375</v>
      </c>
      <c r="E74" s="16">
        <f>[1]CDR!$G$21/12</f>
        <v>18834.375</v>
      </c>
      <c r="F74" s="16">
        <f>[1]CDR!$G$21/12</f>
        <v>18834.375</v>
      </c>
      <c r="G74" s="16">
        <f>[1]CDR!$G$21/12</f>
        <v>18834.375</v>
      </c>
      <c r="H74" s="16">
        <f>[1]CDR!$G$21/12</f>
        <v>18834.375</v>
      </c>
      <c r="I74" s="16">
        <f>[1]CDR!$G$21/12</f>
        <v>18834.375</v>
      </c>
      <c r="J74" s="14">
        <f>[1]CDR!$G$21/12</f>
        <v>18834.375</v>
      </c>
      <c r="K74" s="16">
        <f>[1]CDR!$G$21/12</f>
        <v>18834.375</v>
      </c>
      <c r="L74" s="16">
        <f>[1]CDR!$G$21/12</f>
        <v>18834.375</v>
      </c>
      <c r="M74" s="16">
        <f>[1]CDR!$G$21/12</f>
        <v>18834.375</v>
      </c>
      <c r="N74" s="16">
        <f>[1]CDR!$G$21/12</f>
        <v>18834.375</v>
      </c>
      <c r="O74" s="15">
        <f>SUM(C74:N74)</f>
        <v>226012.5</v>
      </c>
      <c r="P74" s="14"/>
      <c r="Q74" s="13"/>
      <c r="S74"/>
      <c r="T74"/>
      <c r="U74"/>
      <c r="V74"/>
      <c r="W74"/>
      <c r="X74"/>
      <c r="Y74"/>
      <c r="Z74"/>
      <c r="AA74"/>
      <c r="AB74"/>
      <c r="AC74"/>
      <c r="AD74" s="37" t="s">
        <v>14</v>
      </c>
      <c r="AE74" s="16">
        <f>SUM(C75:E75)</f>
        <v>29596.875000000007</v>
      </c>
      <c r="AF74" s="16">
        <f>SUM(F75:H75)</f>
        <v>29596.875000000007</v>
      </c>
      <c r="AG74" s="16">
        <f>SUM(I75:K75)</f>
        <v>29596.875000000007</v>
      </c>
      <c r="AH74" s="30">
        <f>SUM(L75:N75)</f>
        <v>29596.875000000007</v>
      </c>
      <c r="AI74" s="30">
        <f>AF74+AG74+AH74+AE74</f>
        <v>118387.50000000003</v>
      </c>
    </row>
    <row r="75" spans="2:35" hidden="1" x14ac:dyDescent="0.45">
      <c r="B75" s="37" t="s">
        <v>14</v>
      </c>
      <c r="C75" s="16">
        <f>[1]CDR!$G$23/12</f>
        <v>9865.6250000000018</v>
      </c>
      <c r="D75" s="16">
        <f>[1]CDR!$G$23/12</f>
        <v>9865.6250000000018</v>
      </c>
      <c r="E75" s="16">
        <f>[1]CDR!$G$23/12</f>
        <v>9865.6250000000018</v>
      </c>
      <c r="F75" s="16">
        <f>[1]CDR!$G$23/12</f>
        <v>9865.6250000000018</v>
      </c>
      <c r="G75" s="16">
        <f>[1]CDR!$G$23/12</f>
        <v>9865.6250000000018</v>
      </c>
      <c r="H75" s="16">
        <f>[1]CDR!$G$23/12</f>
        <v>9865.6250000000018</v>
      </c>
      <c r="I75" s="16">
        <f>[1]CDR!$G$23/12</f>
        <v>9865.6250000000018</v>
      </c>
      <c r="J75" s="14">
        <f>[1]CDR!$G$23/12</f>
        <v>9865.6250000000018</v>
      </c>
      <c r="K75" s="16">
        <f>[1]CDR!$G$23/12</f>
        <v>9865.6250000000018</v>
      </c>
      <c r="L75" s="16">
        <f>[1]CDR!$G$23/12</f>
        <v>9865.6250000000018</v>
      </c>
      <c r="M75" s="16">
        <f>[1]CDR!$G$23/12</f>
        <v>9865.6250000000018</v>
      </c>
      <c r="N75" s="16">
        <f>[1]CDR!$G$23/12</f>
        <v>9865.6250000000018</v>
      </c>
      <c r="O75" s="15">
        <f>SUM(C75:N75)</f>
        <v>118387.50000000001</v>
      </c>
      <c r="P75" s="14"/>
      <c r="Q75" s="13"/>
      <c r="S75"/>
      <c r="T75"/>
      <c r="U75"/>
      <c r="V75"/>
      <c r="W75"/>
      <c r="X75"/>
      <c r="Y75"/>
      <c r="Z75"/>
      <c r="AA75"/>
      <c r="AB75"/>
      <c r="AC75"/>
      <c r="AD75" s="34" t="s">
        <v>13</v>
      </c>
      <c r="AE75" s="16">
        <f>SUM(C76:E76)</f>
        <v>4125</v>
      </c>
      <c r="AF75" s="16">
        <f>SUM(F76:H76)</f>
        <v>4125</v>
      </c>
      <c r="AG75" s="16">
        <f>SUM(I76:K76)</f>
        <v>4125</v>
      </c>
      <c r="AH75" s="30">
        <f>SUM(L76:N76)</f>
        <v>4125</v>
      </c>
      <c r="AI75" s="30">
        <f>AF75+AG75+AH75+AE75</f>
        <v>16500</v>
      </c>
    </row>
    <row r="76" spans="2:35" hidden="1" x14ac:dyDescent="0.45">
      <c r="B76" s="34" t="s">
        <v>13</v>
      </c>
      <c r="C76" s="16">
        <f>'[1]Tableau des ChPr'!$H$12/12</f>
        <v>1375</v>
      </c>
      <c r="D76" s="16">
        <f>'[1]Tableau des ChPr'!$H$12/12</f>
        <v>1375</v>
      </c>
      <c r="E76" s="16">
        <f>'[1]Tableau des ChPr'!$H$12/12</f>
        <v>1375</v>
      </c>
      <c r="F76" s="16">
        <f>'[1]Tableau des ChPr'!$H$12/12</f>
        <v>1375</v>
      </c>
      <c r="G76" s="16">
        <f>'[1]Tableau des ChPr'!$H$12/12</f>
        <v>1375</v>
      </c>
      <c r="H76" s="16">
        <f>'[1]Tableau des ChPr'!$H$12/12</f>
        <v>1375</v>
      </c>
      <c r="I76" s="16">
        <f>'[1]Tableau des ChPr'!$H$12/12</f>
        <v>1375</v>
      </c>
      <c r="J76" s="14">
        <f>'[1]Tableau des ChPr'!$H$12/12</f>
        <v>1375</v>
      </c>
      <c r="K76" s="16">
        <f>'[1]Tableau des ChPr'!$H$12/12</f>
        <v>1375</v>
      </c>
      <c r="L76" s="16">
        <f>'[1]Tableau des ChPr'!$H$12/12</f>
        <v>1375</v>
      </c>
      <c r="M76" s="16">
        <f>'[1]Tableau des ChPr'!$H$12/12</f>
        <v>1375</v>
      </c>
      <c r="N76" s="16">
        <f>'[1]Tableau des ChPr'!$H$12/12</f>
        <v>1375</v>
      </c>
      <c r="O76" s="15">
        <f>SUM(C76:N76)</f>
        <v>16500</v>
      </c>
      <c r="P76" s="14"/>
      <c r="Q76" s="13"/>
      <c r="S76"/>
      <c r="T76"/>
      <c r="U76"/>
      <c r="V76"/>
      <c r="W76"/>
      <c r="X76"/>
      <c r="Y76"/>
      <c r="Z76"/>
      <c r="AA76"/>
      <c r="AB76"/>
      <c r="AC76"/>
      <c r="AD76" s="34" t="s">
        <v>12</v>
      </c>
      <c r="AE76" s="16">
        <f>SUM(C77:E77)</f>
        <v>1551</v>
      </c>
      <c r="AF76" s="16">
        <f>SUM(F77:H77)</f>
        <v>1551</v>
      </c>
      <c r="AG76" s="16">
        <f>SUM(I77:K77)</f>
        <v>1551</v>
      </c>
      <c r="AH76" s="30">
        <f>SUM(L77:N77)</f>
        <v>1551</v>
      </c>
      <c r="AI76" s="30">
        <f>AF76+AG76+AH76+AE76</f>
        <v>6204</v>
      </c>
    </row>
    <row r="77" spans="2:35" hidden="1" x14ac:dyDescent="0.45">
      <c r="B77" s="34" t="s">
        <v>12</v>
      </c>
      <c r="C77" s="16">
        <v>517</v>
      </c>
      <c r="D77" s="16">
        <v>517</v>
      </c>
      <c r="E77" s="16">
        <v>517</v>
      </c>
      <c r="F77" s="16">
        <v>517</v>
      </c>
      <c r="G77" s="16">
        <v>517</v>
      </c>
      <c r="H77" s="16">
        <v>517</v>
      </c>
      <c r="I77" s="16">
        <v>517</v>
      </c>
      <c r="J77" s="14">
        <v>517</v>
      </c>
      <c r="K77" s="16">
        <v>517</v>
      </c>
      <c r="L77" s="16">
        <v>517</v>
      </c>
      <c r="M77" s="16">
        <v>517</v>
      </c>
      <c r="N77" s="16">
        <v>517</v>
      </c>
      <c r="O77" s="15"/>
      <c r="P77" s="14"/>
      <c r="Q77" s="13"/>
      <c r="S77"/>
      <c r="T77"/>
      <c r="U77"/>
      <c r="V77"/>
      <c r="W77"/>
      <c r="X77"/>
      <c r="Y77"/>
      <c r="Z77"/>
      <c r="AA77"/>
      <c r="AB77"/>
      <c r="AC77"/>
      <c r="AD77" s="36" t="s">
        <v>11</v>
      </c>
      <c r="AE77" s="35">
        <f>SUM(C78:E78)</f>
        <v>876</v>
      </c>
      <c r="AF77" s="16">
        <f>SUM(F78:H78)</f>
        <v>876</v>
      </c>
      <c r="AG77" s="16">
        <f>SUM(I78:K78)</f>
        <v>876</v>
      </c>
      <c r="AH77" s="30">
        <f>SUM(L78:N78)</f>
        <v>876</v>
      </c>
      <c r="AI77" s="30">
        <f>AF77+AG77+AH77+AE77</f>
        <v>3504</v>
      </c>
    </row>
    <row r="78" spans="2:35" hidden="1" x14ac:dyDescent="0.45">
      <c r="B78" s="36" t="s">
        <v>11</v>
      </c>
      <c r="C78" s="35">
        <v>292</v>
      </c>
      <c r="D78" s="16">
        <v>292</v>
      </c>
      <c r="E78" s="16">
        <v>292</v>
      </c>
      <c r="F78" s="16">
        <v>292</v>
      </c>
      <c r="G78" s="16">
        <v>292</v>
      </c>
      <c r="H78" s="16">
        <v>292</v>
      </c>
      <c r="I78" s="16">
        <v>292</v>
      </c>
      <c r="J78" s="14">
        <v>292</v>
      </c>
      <c r="K78" s="16">
        <v>292</v>
      </c>
      <c r="L78" s="16">
        <v>292</v>
      </c>
      <c r="M78" s="16">
        <v>292</v>
      </c>
      <c r="N78" s="16">
        <v>292</v>
      </c>
      <c r="O78" s="15">
        <f>SUM(C78:N78)</f>
        <v>3504</v>
      </c>
      <c r="P78" s="14"/>
      <c r="Q78" s="13"/>
      <c r="S78"/>
      <c r="T78"/>
      <c r="U78"/>
      <c r="V78"/>
      <c r="W78"/>
      <c r="X78"/>
      <c r="Y78"/>
      <c r="Z78"/>
      <c r="AA78"/>
      <c r="AB78"/>
      <c r="AC78"/>
      <c r="AD78" s="34" t="s">
        <v>10</v>
      </c>
      <c r="AE78" s="16">
        <f>SUM(C79:E79)</f>
        <v>0</v>
      </c>
      <c r="AF78" s="16">
        <f>SUM(F79:H79)</f>
        <v>71472.220762417783</v>
      </c>
      <c r="AG78" s="16">
        <f>SUM(I79:K79)</f>
        <v>0</v>
      </c>
      <c r="AH78" s="30">
        <f>SUM(L79:N79)</f>
        <v>1575</v>
      </c>
      <c r="AI78" s="30">
        <f>AF78+AG78+AH78+AE78</f>
        <v>73047.220762417783</v>
      </c>
    </row>
    <row r="79" spans="2:35" hidden="1" x14ac:dyDescent="0.45">
      <c r="B79" s="34" t="s">
        <v>10</v>
      </c>
      <c r="C79" s="16"/>
      <c r="D79" s="16"/>
      <c r="E79" s="16"/>
      <c r="F79" s="16">
        <f>[1]CDR!F49</f>
        <v>71472.220762417783</v>
      </c>
      <c r="G79" s="16"/>
      <c r="H79" s="16"/>
      <c r="I79" s="16"/>
      <c r="J79" s="14"/>
      <c r="K79" s="16"/>
      <c r="L79" s="16"/>
      <c r="M79" s="16"/>
      <c r="N79" s="16">
        <f>[1]SIG!D19</f>
        <v>1575</v>
      </c>
      <c r="O79" s="15"/>
      <c r="P79" s="14"/>
      <c r="Q79" s="13"/>
      <c r="S79"/>
      <c r="T79"/>
      <c r="U79"/>
      <c r="V79"/>
      <c r="W79"/>
      <c r="X79"/>
      <c r="Y79"/>
      <c r="Z79"/>
      <c r="AA79"/>
      <c r="AB79"/>
      <c r="AC79"/>
      <c r="AD79" s="34" t="s">
        <v>9</v>
      </c>
      <c r="AE79" s="16">
        <f>SUM(C80:E80)</f>
        <v>24842.848901637037</v>
      </c>
      <c r="AF79" s="16">
        <f>SUM(F80:H80)</f>
        <v>24842.848901637037</v>
      </c>
      <c r="AG79" s="16">
        <f>SUM(I80:K80)</f>
        <v>24842.848901637037</v>
      </c>
      <c r="AH79" s="30">
        <f>SUM(L80:N80)</f>
        <v>24842.848901637037</v>
      </c>
      <c r="AI79" s="30">
        <f>AF79+AG79+AH79+AE79</f>
        <v>99371.395606548147</v>
      </c>
    </row>
    <row r="80" spans="2:35" hidden="1" x14ac:dyDescent="0.45">
      <c r="B80" s="34" t="s">
        <v>9</v>
      </c>
      <c r="C80" s="16">
        <f>$W10/12</f>
        <v>8280.9496338790123</v>
      </c>
      <c r="D80" s="16">
        <f>$W10/12</f>
        <v>8280.9496338790123</v>
      </c>
      <c r="E80" s="16">
        <f>$W10/12</f>
        <v>8280.9496338790123</v>
      </c>
      <c r="F80" s="16">
        <f>$W10/12</f>
        <v>8280.9496338790123</v>
      </c>
      <c r="G80" s="16">
        <f>$W10/12</f>
        <v>8280.9496338790123</v>
      </c>
      <c r="H80" s="16">
        <f>$W10/12</f>
        <v>8280.9496338790123</v>
      </c>
      <c r="I80" s="16">
        <f>$W10/12</f>
        <v>8280.9496338790123</v>
      </c>
      <c r="J80" s="14">
        <f>$W10/12</f>
        <v>8280.9496338790123</v>
      </c>
      <c r="K80" s="16">
        <f>$W10/12</f>
        <v>8280.9496338790123</v>
      </c>
      <c r="L80" s="16">
        <f>$W10/12</f>
        <v>8280.9496338790123</v>
      </c>
      <c r="M80" s="16">
        <f>$W10/12</f>
        <v>8280.9496338790123</v>
      </c>
      <c r="N80" s="16">
        <f>$W10/12</f>
        <v>8280.9496338790123</v>
      </c>
      <c r="O80" s="15"/>
      <c r="P80" s="14"/>
      <c r="Q80" s="13"/>
      <c r="S80"/>
      <c r="T80"/>
      <c r="U80"/>
      <c r="V80"/>
      <c r="W80"/>
      <c r="X80"/>
      <c r="Y80"/>
      <c r="Z80"/>
      <c r="AA80"/>
      <c r="AB80"/>
      <c r="AC80"/>
      <c r="AD80" s="34" t="s">
        <v>8</v>
      </c>
      <c r="AE80" s="16">
        <f>SUM(C81:E81)</f>
        <v>18150</v>
      </c>
      <c r="AF80" s="16">
        <f>SUM(F81:H81)</f>
        <v>18150</v>
      </c>
      <c r="AG80" s="16">
        <f>SUM(I81:K81)</f>
        <v>18150</v>
      </c>
      <c r="AH80" s="30">
        <f>SUM(L81:N81)</f>
        <v>18150</v>
      </c>
      <c r="AI80" s="30">
        <f>AF80+AG80+AH80+AE80</f>
        <v>72600</v>
      </c>
    </row>
    <row r="81" spans="2:35" hidden="1" x14ac:dyDescent="0.45">
      <c r="B81" s="34" t="s">
        <v>8</v>
      </c>
      <c r="C81" s="16">
        <v>6050</v>
      </c>
      <c r="D81" s="16">
        <v>6050</v>
      </c>
      <c r="E81" s="16">
        <v>6050</v>
      </c>
      <c r="F81" s="16">
        <v>6050</v>
      </c>
      <c r="G81" s="16">
        <v>6050</v>
      </c>
      <c r="H81" s="16">
        <v>6050</v>
      </c>
      <c r="I81" s="16">
        <v>6050</v>
      </c>
      <c r="J81" s="14">
        <v>6050</v>
      </c>
      <c r="K81" s="16">
        <v>6050</v>
      </c>
      <c r="L81" s="16">
        <v>6050</v>
      </c>
      <c r="M81" s="16">
        <v>6050</v>
      </c>
      <c r="N81" s="16">
        <v>6050</v>
      </c>
      <c r="O81" s="15">
        <f>SUM(C81:N81)</f>
        <v>72600</v>
      </c>
      <c r="P81" s="14"/>
      <c r="Q81" s="13"/>
      <c r="S81"/>
      <c r="T81"/>
      <c r="U81"/>
      <c r="V81"/>
      <c r="W81"/>
      <c r="X81"/>
      <c r="Y81"/>
      <c r="Z81"/>
      <c r="AA81"/>
      <c r="AB81"/>
      <c r="AC81"/>
      <c r="AD81" s="33" t="s">
        <v>7</v>
      </c>
      <c r="AE81" s="32">
        <f>SUM(AE71:AE80)</f>
        <v>135644.84890163704</v>
      </c>
      <c r="AF81" s="32">
        <f>SUM(AF71:AF80)</f>
        <v>207117.06966405481</v>
      </c>
      <c r="AG81" s="32">
        <f>SUM(AG71:AG80)</f>
        <v>135644.84890163704</v>
      </c>
      <c r="AH81" s="31">
        <f>SUM(AH71:AH80)</f>
        <v>137219.84890163704</v>
      </c>
      <c r="AI81" s="30"/>
    </row>
    <row r="82" spans="2:35" hidden="1" x14ac:dyDescent="0.45">
      <c r="B82" s="29" t="s">
        <v>7</v>
      </c>
      <c r="C82" s="27">
        <f>SUM(C72:C81)</f>
        <v>45214.949633879012</v>
      </c>
      <c r="D82" s="27">
        <f>SUM(D72:D81)</f>
        <v>45214.949633879012</v>
      </c>
      <c r="E82" s="27">
        <f>SUM(E72:E81)</f>
        <v>45214.949633879012</v>
      </c>
      <c r="F82" s="27">
        <f>SUM(F72:F81)</f>
        <v>116687.1703962968</v>
      </c>
      <c r="G82" s="27">
        <f>SUM(G72:G81)</f>
        <v>45214.949633879012</v>
      </c>
      <c r="H82" s="27">
        <f>SUM(H72:H81)</f>
        <v>45214.949633879012</v>
      </c>
      <c r="I82" s="27">
        <f>SUM(I72:I81)</f>
        <v>45214.949633879012</v>
      </c>
      <c r="J82" s="28">
        <f>SUM(J72:J81)</f>
        <v>45214.949633879012</v>
      </c>
      <c r="K82" s="27">
        <f>SUM(K72:K81)</f>
        <v>45214.949633879012</v>
      </c>
      <c r="L82" s="27">
        <f>SUM(L72:L81)</f>
        <v>45214.949633879012</v>
      </c>
      <c r="M82" s="27">
        <f>SUM(M72:M81)</f>
        <v>45214.949633879012</v>
      </c>
      <c r="N82" s="27">
        <f>SUM(N72:N81)</f>
        <v>46789.949633879012</v>
      </c>
      <c r="O82" s="26"/>
      <c r="P82" s="7"/>
      <c r="Q82" s="13"/>
      <c r="S82"/>
      <c r="T82"/>
      <c r="U82"/>
      <c r="V82"/>
      <c r="W82"/>
      <c r="X82"/>
      <c r="Y82"/>
      <c r="Z82"/>
      <c r="AA82"/>
      <c r="AB82"/>
      <c r="AC82"/>
      <c r="AD82" s="23" t="s">
        <v>6</v>
      </c>
      <c r="AE82" s="21">
        <f>AI64</f>
        <v>351579.36073527357</v>
      </c>
      <c r="AF82" s="21">
        <f>AE84</f>
        <v>383556.1968336365</v>
      </c>
      <c r="AG82" s="21">
        <f>AF84</f>
        <v>302003.00756958174</v>
      </c>
      <c r="AH82" s="25">
        <f>AG84</f>
        <v>433181.40451794467</v>
      </c>
      <c r="AI82" s="24"/>
    </row>
    <row r="83" spans="2:35" ht="18" hidden="1" customHeight="1" x14ac:dyDescent="0.45">
      <c r="B83" s="23" t="s">
        <v>6</v>
      </c>
      <c r="C83" s="21">
        <f>N65</f>
        <v>501579.36073527386</v>
      </c>
      <c r="D83" s="21">
        <f>C85</f>
        <v>540175.25360139483</v>
      </c>
      <c r="E83" s="21">
        <f>D85</f>
        <v>525436.97396751586</v>
      </c>
      <c r="F83" s="21">
        <f>E85</f>
        <v>533556.19683363684</v>
      </c>
      <c r="G83" s="21">
        <f>F85</f>
        <v>440412.25401234004</v>
      </c>
      <c r="H83" s="21">
        <f>G85</f>
        <v>418740.531953461</v>
      </c>
      <c r="I83" s="21">
        <f>H85</f>
        <v>452003.00756958203</v>
      </c>
      <c r="J83" s="22">
        <f>I85</f>
        <v>493113.225710703</v>
      </c>
      <c r="K83" s="21">
        <f>J85</f>
        <v>534223.44385182403</v>
      </c>
      <c r="L83" s="21">
        <f>K85</f>
        <v>583181.40451794502</v>
      </c>
      <c r="M83" s="21">
        <f>L85</f>
        <v>632139.365184066</v>
      </c>
      <c r="N83" s="21">
        <f>M85</f>
        <v>626163.12817518704</v>
      </c>
      <c r="O83" s="20"/>
      <c r="P83" s="14"/>
      <c r="Q83" s="13"/>
      <c r="S83"/>
      <c r="T83"/>
      <c r="U83"/>
      <c r="V83"/>
      <c r="W83"/>
      <c r="X83"/>
      <c r="Y83"/>
      <c r="Z83"/>
      <c r="AA83"/>
      <c r="AB83"/>
      <c r="AC83"/>
      <c r="AD83" s="17" t="s">
        <v>5</v>
      </c>
      <c r="AE83" s="16">
        <f>AE70-AE81</f>
        <v>31976.836098362954</v>
      </c>
      <c r="AF83" s="16">
        <f>AF70-AF81</f>
        <v>-81553.189264054789</v>
      </c>
      <c r="AG83" s="16">
        <f>AG70-AG81</f>
        <v>131178.39694836296</v>
      </c>
      <c r="AH83" s="19">
        <f>AH70-AH81</f>
        <v>82516.941798362968</v>
      </c>
      <c r="AI83" s="18"/>
    </row>
    <row r="84" spans="2:35" ht="18.75" hidden="1" customHeight="1" x14ac:dyDescent="0.45">
      <c r="B84" s="17" t="s">
        <v>4</v>
      </c>
      <c r="C84" s="16">
        <f>C71-C82</f>
        <v>38595.892866120987</v>
      </c>
      <c r="D84" s="16">
        <f>D71-D82</f>
        <v>-14738.27963387901</v>
      </c>
      <c r="E84" s="16">
        <f>E71-E82</f>
        <v>8119.2228661209956</v>
      </c>
      <c r="F84" s="16">
        <f>F71-F82</f>
        <v>-93143.942821296805</v>
      </c>
      <c r="G84" s="16">
        <f>G71-G82</f>
        <v>-21671.722058879011</v>
      </c>
      <c r="H84" s="16">
        <f>H71-H82</f>
        <v>33262.475616121003</v>
      </c>
      <c r="I84" s="16">
        <f>I71-I82</f>
        <v>41110.218141120997</v>
      </c>
      <c r="J84" s="14">
        <f>J71-J82</f>
        <v>41110.218141120997</v>
      </c>
      <c r="K84" s="16">
        <f>K71-K82</f>
        <v>48957.960666120991</v>
      </c>
      <c r="L84" s="16">
        <f>L71-L82</f>
        <v>48957.960666120991</v>
      </c>
      <c r="M84" s="16">
        <f>M71-M82</f>
        <v>-5976.2370088790049</v>
      </c>
      <c r="N84" s="16">
        <f>N71-N82</f>
        <v>39535.218141120997</v>
      </c>
      <c r="O84" s="15"/>
      <c r="P84" s="14"/>
      <c r="Q84" s="13"/>
      <c r="S84"/>
      <c r="T84"/>
      <c r="U84"/>
      <c r="V84"/>
      <c r="W84"/>
      <c r="X84"/>
      <c r="Y84"/>
      <c r="Z84"/>
      <c r="AA84"/>
      <c r="AB84"/>
      <c r="AC84"/>
      <c r="AD84" s="11" t="s">
        <v>3</v>
      </c>
      <c r="AE84" s="9">
        <f>AE82+AE83</f>
        <v>383556.1968336365</v>
      </c>
      <c r="AF84" s="9">
        <f>AF82+AF83</f>
        <v>302003.00756958174</v>
      </c>
      <c r="AG84" s="9">
        <f>AG82+AG83</f>
        <v>433181.40451794467</v>
      </c>
      <c r="AH84" s="9">
        <f>AH82+AH83</f>
        <v>515698.34631630767</v>
      </c>
      <c r="AI84" s="12">
        <f>AH84</f>
        <v>515698.34631630767</v>
      </c>
    </row>
    <row r="85" spans="2:35" ht="18" hidden="1" customHeight="1" x14ac:dyDescent="0.45">
      <c r="B85" s="11" t="s">
        <v>3</v>
      </c>
      <c r="C85" s="9">
        <f>C83+C84</f>
        <v>540175.25360139483</v>
      </c>
      <c r="D85" s="9">
        <f>D83+D84</f>
        <v>525436.97396751586</v>
      </c>
      <c r="E85" s="9">
        <f>E83+E84</f>
        <v>533556.19683363684</v>
      </c>
      <c r="F85" s="9">
        <f>F83+F84</f>
        <v>440412.25401234004</v>
      </c>
      <c r="G85" s="9">
        <f>G83+G84</f>
        <v>418740.531953461</v>
      </c>
      <c r="H85" s="9">
        <f>H83+H84</f>
        <v>452003.00756958203</v>
      </c>
      <c r="I85" s="9">
        <f>I83+I84</f>
        <v>493113.225710703</v>
      </c>
      <c r="J85" s="10">
        <f>J83+J84</f>
        <v>534223.44385182403</v>
      </c>
      <c r="K85" s="9">
        <f>K83+K84</f>
        <v>583181.40451794502</v>
      </c>
      <c r="L85" s="9">
        <f>L83+L84</f>
        <v>632139.365184066</v>
      </c>
      <c r="M85" s="9">
        <f>M83+M84</f>
        <v>626163.12817518704</v>
      </c>
      <c r="N85" s="9">
        <f>N83+N84</f>
        <v>665698.34631630802</v>
      </c>
      <c r="O85" s="8">
        <f>N85</f>
        <v>665698.34631630802</v>
      </c>
      <c r="P85" s="7"/>
      <c r="Q85" s="6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2:35" hidden="1" x14ac:dyDescent="0.45"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2:35" hidden="1" x14ac:dyDescent="0.45"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2:35" hidden="1" x14ac:dyDescent="0.45">
      <c r="C88" s="5">
        <f>[1]CDR!G8*$U36</f>
        <v>86325.167775000009</v>
      </c>
      <c r="D88" s="5">
        <f>[1]CDR!G8*$U37</f>
        <v>31390.970100000002</v>
      </c>
      <c r="E88" s="5">
        <f>[1]CDR!G8*$U38</f>
        <v>54934.19767500001</v>
      </c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2:35" hidden="1" x14ac:dyDescent="0.45"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2:35" hidden="1" x14ac:dyDescent="0.45"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2:35" hidden="1" x14ac:dyDescent="0.45"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2:35" hidden="1" x14ac:dyDescent="0.45"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2:35" hidden="1" x14ac:dyDescent="0.45"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2:35" hidden="1" x14ac:dyDescent="0.45"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2:35" hidden="1" x14ac:dyDescent="0.45"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2:35" hidden="1" x14ac:dyDescent="0.45"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2:32" hidden="1" x14ac:dyDescent="0.45"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2:32" hidden="1" x14ac:dyDescent="0.45"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2:32" hidden="1" x14ac:dyDescent="0.45">
      <c r="B99" s="4" t="s">
        <v>2</v>
      </c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2:32" hidden="1" x14ac:dyDescent="0.45">
      <c r="B100" s="4" t="s">
        <v>1</v>
      </c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2:32" hidden="1" x14ac:dyDescent="0.45">
      <c r="B101" s="4" t="s">
        <v>0</v>
      </c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2:32" hidden="1" x14ac:dyDescent="0.45"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2:32" hidden="1" x14ac:dyDescent="0.45"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2:32" hidden="1" x14ac:dyDescent="0.45"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2:32" hidden="1" x14ac:dyDescent="0.45"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2:32" hidden="1" x14ac:dyDescent="0.45"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2:32" hidden="1" x14ac:dyDescent="0.45"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2:32" x14ac:dyDescent="0.45"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2:32" x14ac:dyDescent="0.45"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2:32" x14ac:dyDescent="0.45"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2:32" x14ac:dyDescent="0.45"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2:32" x14ac:dyDescent="0.45"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9:32" x14ac:dyDescent="0.45"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9:32" x14ac:dyDescent="0.45"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9:32" x14ac:dyDescent="0.45"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9:32" x14ac:dyDescent="0.45"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9:32" x14ac:dyDescent="0.45"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9:32" x14ac:dyDescent="0.45"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9:32" x14ac:dyDescent="0.45"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9:32" x14ac:dyDescent="0.45"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9:32" x14ac:dyDescent="0.45"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9:32" x14ac:dyDescent="0.45"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9:32" x14ac:dyDescent="0.45"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9:32" x14ac:dyDescent="0.45"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9:32" x14ac:dyDescent="0.45"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9:32" x14ac:dyDescent="0.45"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9:32" x14ac:dyDescent="0.45"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9:32" x14ac:dyDescent="0.45"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9:32" x14ac:dyDescent="0.45"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19:32" x14ac:dyDescent="0.45"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9:32" x14ac:dyDescent="0.45"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19:32" x14ac:dyDescent="0.45"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9:32" x14ac:dyDescent="0.45"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19:32" x14ac:dyDescent="0.45"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9:32" x14ac:dyDescent="0.45"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19:32" x14ac:dyDescent="0.45"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9:32" x14ac:dyDescent="0.45"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19:32" x14ac:dyDescent="0.45"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9:32" x14ac:dyDescent="0.45"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</sheetData>
  <mergeCells count="1">
    <mergeCell ref="T19:U19"/>
  </mergeCells>
  <dataValidations count="1">
    <dataValidation type="list" allowBlank="1" showInputMessage="1" showErrorMessage="1" sqref="T19:U19" xr:uid="{6B967CFF-DAA8-4369-86C5-92FD6C586ED3}">
      <formula1>$Y$18:$Y$19</formula1>
    </dataValidation>
  </dataValidations>
  <pageMargins left="0" right="0" top="0" bottom="0.74803149606299213" header="0" footer="0.31496062992125984"/>
  <pageSetup paperSize="9" scale="29" fitToWidth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de tréso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Rousset</dc:creator>
  <cp:lastModifiedBy>Oscar Rousset</cp:lastModifiedBy>
  <dcterms:created xsi:type="dcterms:W3CDTF">2026-06-16T23:16:52Z</dcterms:created>
  <dcterms:modified xsi:type="dcterms:W3CDTF">2026-06-16T23:20:37Z</dcterms:modified>
</cp:coreProperties>
</file>