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38b0d8ad050c8f0/Documents/Travail/But GEA/3e année/Sprint/Portfolio Deust/Trace/éléments/5-Evaluer/AC35.03GC2F  Établir un plan de financement équilibré/"/>
    </mc:Choice>
  </mc:AlternateContent>
  <xr:revisionPtr revIDLastSave="0" documentId="8_{A70A9019-8B65-4179-A87C-6F16DA492C91}" xr6:coauthVersionLast="47" xr6:coauthVersionMax="47" xr10:uidLastSave="{00000000-0000-0000-0000-000000000000}"/>
  <bookViews>
    <workbookView xWindow="48390" yWindow="3210" windowWidth="21600" windowHeight="11055" xr2:uid="{EB679D42-FB29-4A3C-869F-622A9712A3E8}"/>
  </bookViews>
  <sheets>
    <sheet name="PFI final" sheetId="2" r:id="rId1"/>
  </sheets>
  <externalReferences>
    <externalReference r:id="rId2"/>
  </externalReferenc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8" i="2" l="1"/>
  <c r="C16" i="2"/>
  <c r="C15" i="2"/>
  <c r="C7" i="2"/>
  <c r="C11" i="2" l="1"/>
  <c r="C27" i="2"/>
  <c r="C25" i="2"/>
  <c r="C21" i="2"/>
  <c r="C26" i="2"/>
  <c r="C22" i="2" l="1"/>
</calcChain>
</file>

<file path=xl/sharedStrings.xml><?xml version="1.0" encoding="utf-8"?>
<sst xmlns="http://schemas.openxmlformats.org/spreadsheetml/2006/main" count="26" uniqueCount="25">
  <si>
    <t>Plan de financement initial</t>
  </si>
  <si>
    <t>Postes à financer</t>
  </si>
  <si>
    <t>Montant estimé (€)</t>
  </si>
  <si>
    <t xml:space="preserve">Fonds de commerce (valeur de reprise) </t>
  </si>
  <si>
    <t xml:space="preserve">Travaux éventuels </t>
  </si>
  <si>
    <t xml:space="preserve">Investissements matériels et moyens d'exploitations </t>
  </si>
  <si>
    <t>Sous-total base d'apport (20%)</t>
  </si>
  <si>
    <t xml:space="preserve">Besoin de trésorerie de démarrage </t>
  </si>
  <si>
    <t xml:space="preserve">Constitution du stock initial </t>
  </si>
  <si>
    <t xml:space="preserve">Frais divers (honoraires, assurance, garantie, etc.) </t>
  </si>
  <si>
    <t xml:space="preserve">Coût total du projet </t>
  </si>
  <si>
    <t xml:space="preserve">Sources de financement </t>
  </si>
  <si>
    <t>Apport personnel (minimum 20% du sous-total)</t>
  </si>
  <si>
    <t>Dont apport en compte courant d'associé</t>
  </si>
  <si>
    <t xml:space="preserve">Facilité de caisse </t>
  </si>
  <si>
    <t>Prêt bancaire (sur 7 ans, taux 6% hors assurance)</t>
  </si>
  <si>
    <t xml:space="preserve">Crédit-vendeur éventuel </t>
  </si>
  <si>
    <t>Autres aides (subventions, prêt d'honneur, etc.)</t>
  </si>
  <si>
    <t>Total financement</t>
  </si>
  <si>
    <t>Contrôle</t>
  </si>
  <si>
    <t xml:space="preserve">Tableau de contrôle </t>
  </si>
  <si>
    <t xml:space="preserve">Résultat </t>
  </si>
  <si>
    <t>Apport unitaire</t>
  </si>
  <si>
    <t>Minimuym 20% d'apport :</t>
  </si>
  <si>
    <t xml:space="preserve">Maximum 80% du projet fianncé par la banque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</si>
</sst>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u/>
      <sz val="24"/>
      <color rgb="FF153D64"/>
      <name val="Calibri Light"/>
      <family val="2"/>
    </font>
    <font>
      <b/>
      <u/>
      <sz val="24"/>
      <color theme="3" tint="9.9978637043366805E-2"/>
      <name val="Calibri Light"/>
      <family val="2"/>
    </font>
    <font>
      <sz val="11"/>
      <color theme="1"/>
      <name val="Calibri Light"/>
      <family val="2"/>
    </font>
    <font>
      <b/>
      <sz val="11"/>
      <color theme="1"/>
      <name val="Calibri Light"/>
      <family val="2"/>
    </font>
    <font>
      <sz val="10"/>
      <color theme="1"/>
      <name val="Calibri Light"/>
      <family val="2"/>
    </font>
    <font>
      <b/>
      <sz val="10"/>
      <color theme="1"/>
      <name val="Calibri Light"/>
      <family val="2"/>
    </font>
    <font>
      <i/>
      <sz val="10"/>
      <color theme="5" tint="-0.249977111117893"/>
      <name val="Calibri Light"/>
      <family val="2"/>
    </font>
    <font>
      <i/>
      <sz val="11"/>
      <color theme="5" tint="-0.249977111117893"/>
      <name val="Calibri Light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D9D9D9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/>
      <diagonal/>
    </border>
    <border>
      <left/>
      <right style="thin">
        <color rgb="FF505050"/>
      </right>
      <top/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35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/>
    <xf numFmtId="0" fontId="6" fillId="3" borderId="1" xfId="0" applyFont="1" applyFill="1" applyBorder="1"/>
    <xf numFmtId="43" fontId="6" fillId="3" borderId="2" xfId="1" applyFont="1" applyFill="1" applyBorder="1" applyAlignment="1">
      <alignment horizontal="center"/>
    </xf>
    <xf numFmtId="0" fontId="7" fillId="0" borderId="3" xfId="0" applyFont="1" applyBorder="1"/>
    <xf numFmtId="164" fontId="5" fillId="0" borderId="4" xfId="1" applyNumberFormat="1" applyFont="1" applyBorder="1"/>
    <xf numFmtId="0" fontId="7" fillId="0" borderId="5" xfId="0" applyFont="1" applyBorder="1"/>
    <xf numFmtId="164" fontId="5" fillId="0" borderId="6" xfId="1" applyNumberFormat="1" applyFont="1" applyBorder="1"/>
    <xf numFmtId="0" fontId="8" fillId="0" borderId="5" xfId="0" applyFont="1" applyBorder="1"/>
    <xf numFmtId="164" fontId="6" fillId="0" borderId="6" xfId="1" applyNumberFormat="1" applyFont="1" applyBorder="1"/>
    <xf numFmtId="0" fontId="7" fillId="4" borderId="5" xfId="0" applyFont="1" applyFill="1" applyBorder="1"/>
    <xf numFmtId="164" fontId="5" fillId="4" borderId="6" xfId="1" applyNumberFormat="1" applyFont="1" applyFill="1" applyBorder="1"/>
    <xf numFmtId="0" fontId="7" fillId="0" borderId="7" xfId="0" applyFont="1" applyBorder="1"/>
    <xf numFmtId="0" fontId="8" fillId="5" borderId="8" xfId="0" applyFont="1" applyFill="1" applyBorder="1"/>
    <xf numFmtId="164" fontId="6" fillId="5" borderId="9" xfId="1" applyNumberFormat="1" applyFont="1" applyFill="1" applyBorder="1"/>
    <xf numFmtId="0" fontId="8" fillId="0" borderId="3" xfId="0" applyFont="1" applyBorder="1"/>
    <xf numFmtId="164" fontId="6" fillId="0" borderId="4" xfId="1" applyNumberFormat="1" applyFont="1" applyBorder="1"/>
    <xf numFmtId="0" fontId="9" fillId="0" borderId="5" xfId="0" applyFont="1" applyBorder="1" applyAlignment="1">
      <alignment horizontal="center"/>
    </xf>
    <xf numFmtId="164" fontId="10" fillId="0" borderId="6" xfId="1" applyNumberFormat="1" applyFont="1" applyBorder="1"/>
    <xf numFmtId="0" fontId="5" fillId="0" borderId="5" xfId="0" applyFont="1" applyBorder="1"/>
    <xf numFmtId="164" fontId="5" fillId="0" borderId="10" xfId="1" applyNumberFormat="1" applyFont="1" applyBorder="1"/>
    <xf numFmtId="0" fontId="8" fillId="5" borderId="11" xfId="0" applyFont="1" applyFill="1" applyBorder="1"/>
    <xf numFmtId="164" fontId="6" fillId="5" borderId="12" xfId="1" applyNumberFormat="1" applyFont="1" applyFill="1" applyBorder="1"/>
    <xf numFmtId="164" fontId="2" fillId="2" borderId="13" xfId="2" applyNumberFormat="1" applyBorder="1"/>
    <xf numFmtId="0" fontId="6" fillId="6" borderId="2" xfId="0" applyFont="1" applyFill="1" applyBorder="1"/>
    <xf numFmtId="43" fontId="6" fillId="6" borderId="14" xfId="1" applyFont="1" applyFill="1" applyBorder="1" applyAlignment="1">
      <alignment horizontal="center" vertical="center"/>
    </xf>
    <xf numFmtId="0" fontId="5" fillId="0" borderId="2" xfId="0" applyFont="1" applyBorder="1"/>
    <xf numFmtId="164" fontId="2" fillId="2" borderId="2" xfId="2" applyNumberFormat="1" applyBorder="1" applyAlignment="1">
      <alignment horizontal="right" vertical="center"/>
    </xf>
    <xf numFmtId="0" fontId="5" fillId="0" borderId="15" xfId="0" applyFont="1" applyBorder="1"/>
    <xf numFmtId="9" fontId="2" fillId="2" borderId="15" xfId="2" applyNumberFormat="1" applyBorder="1" applyAlignment="1">
      <alignment horizontal="right" vertical="center"/>
    </xf>
    <xf numFmtId="0" fontId="5" fillId="0" borderId="16" xfId="0" applyFont="1" applyBorder="1"/>
    <xf numFmtId="9" fontId="2" fillId="2" borderId="16" xfId="2" applyNumberFormat="1" applyBorder="1" applyAlignment="1">
      <alignment horizontal="right" vertical="center"/>
    </xf>
    <xf numFmtId="43" fontId="5" fillId="0" borderId="0" xfId="1" applyFont="1"/>
  </cellXfs>
  <cellStyles count="3">
    <cellStyle name="Comma" xfId="1" builtinId="3"/>
    <cellStyle name="Good" xfId="2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SAE/Plan%20de%20financement%20agence%20imo%20MONAP%20SAE%20Fi%20BUT3.xlsx" TargetMode="External"/><Relationship Id="rId2" Type="http://schemas.openxmlformats.org/officeDocument/2006/relationships/externalLinkPath" Target="https://d.docs.live.net/438B0D8AD050C8F0/Documents/Travail/But%20GEA/3e%20ann&#233;e/SAE/Plan%20de%20financement%20agence%20imo%20MONAP%20SAE%20Fi%20BUT3.xlsx" TargetMode="External"/><Relationship Id="rId1" Type="http://schemas.openxmlformats.org/officeDocument/2006/relationships/externalLinkPath" Target="/438B0D8AD050C8F0/Documents/Travail/But%20GEA/3e%20ann&#233;e/SAE/Plan%20de%20financement%20agence%20imo%20MONAP%20SAE%20Fi%20BUT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ab des ChPr dossier"/>
      <sheetName val="Tableau des ChPr"/>
      <sheetName val="CDR"/>
      <sheetName val="Graph Partie 2"/>
      <sheetName val="Graph Partie 3"/>
      <sheetName val="SIG"/>
      <sheetName val="Tableau de tréso pr (2)"/>
      <sheetName val="Tableau de tréso pr"/>
      <sheetName val="Emprunt"/>
      <sheetName val="Calcul Free Cash Flow"/>
      <sheetName val="DCF (PER)"/>
      <sheetName val="DCF (sortie standard)"/>
      <sheetName val="Analyse des ratios financiers"/>
      <sheetName val="Plan de financement initial"/>
      <sheetName val="PFI final"/>
      <sheetName val="PFI réaliste"/>
      <sheetName val="Calcul Free Cash Flow V2"/>
      <sheetName val="DCF (PER) V2"/>
      <sheetName val="PFI réaliste 2"/>
      <sheetName val="Sourc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8">
          <cell r="C8">
            <v>160000</v>
          </cell>
        </row>
        <row r="16">
          <cell r="U16">
            <v>575000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D4165-8542-4EDC-82AC-F42844F48923}">
  <sheetPr>
    <tabColor theme="3" tint="0.749992370372631"/>
  </sheetPr>
  <dimension ref="B2:D27"/>
  <sheetViews>
    <sheetView showGridLines="0" tabSelected="1" zoomScale="85" zoomScaleNormal="85" workbookViewId="0">
      <selection activeCell="D2" sqref="D2"/>
    </sheetView>
  </sheetViews>
  <sheetFormatPr defaultColWidth="11.265625" defaultRowHeight="14.25" x14ac:dyDescent="0.45"/>
  <cols>
    <col min="1" max="1" width="10" style="3" customWidth="1"/>
    <col min="2" max="2" width="49.86328125" style="3" customWidth="1"/>
    <col min="3" max="3" width="23.265625" style="34" customWidth="1"/>
    <col min="4" max="4" width="13" style="3" bestFit="1" customWidth="1"/>
    <col min="5" max="16384" width="11.265625" style="3"/>
  </cols>
  <sheetData>
    <row r="2" spans="2:4" ht="84" customHeight="1" x14ac:dyDescent="0.45">
      <c r="B2" s="1" t="s">
        <v>0</v>
      </c>
      <c r="C2" s="2"/>
      <c r="D2" s="2"/>
    </row>
    <row r="3" spans="2:4" x14ac:dyDescent="0.45">
      <c r="B3" s="4" t="s">
        <v>1</v>
      </c>
      <c r="C3" s="5" t="s">
        <v>2</v>
      </c>
    </row>
    <row r="4" spans="2:4" x14ac:dyDescent="0.45">
      <c r="B4" s="6" t="s">
        <v>3</v>
      </c>
      <c r="C4" s="7">
        <v>1110000</v>
      </c>
    </row>
    <row r="5" spans="2:4" x14ac:dyDescent="0.45">
      <c r="B5" s="8" t="s">
        <v>4</v>
      </c>
      <c r="C5" s="9">
        <v>50000</v>
      </c>
    </row>
    <row r="6" spans="2:4" x14ac:dyDescent="0.45">
      <c r="B6" s="8" t="s">
        <v>5</v>
      </c>
      <c r="C6" s="9">
        <v>30000</v>
      </c>
    </row>
    <row r="7" spans="2:4" x14ac:dyDescent="0.45">
      <c r="B7" s="10" t="s">
        <v>6</v>
      </c>
      <c r="C7" s="11">
        <f>SUM(C4:C6)</f>
        <v>1190000</v>
      </c>
    </row>
    <row r="8" spans="2:4" x14ac:dyDescent="0.45">
      <c r="B8" s="12" t="s">
        <v>7</v>
      </c>
      <c r="C8" s="13">
        <v>150000</v>
      </c>
    </row>
    <row r="9" spans="2:4" x14ac:dyDescent="0.45">
      <c r="B9" s="12" t="s">
        <v>8</v>
      </c>
      <c r="C9" s="13"/>
    </row>
    <row r="10" spans="2:4" x14ac:dyDescent="0.45">
      <c r="B10" s="14" t="s">
        <v>9</v>
      </c>
      <c r="C10" s="9">
        <v>10000</v>
      </c>
    </row>
    <row r="11" spans="2:4" x14ac:dyDescent="0.45">
      <c r="B11" s="15" t="s">
        <v>10</v>
      </c>
      <c r="C11" s="16">
        <f>SUM(C7:C10)</f>
        <v>1350000</v>
      </c>
    </row>
    <row r="14" spans="2:4" x14ac:dyDescent="0.45">
      <c r="B14" s="4" t="s">
        <v>11</v>
      </c>
      <c r="C14" s="5" t="s">
        <v>2</v>
      </c>
    </row>
    <row r="15" spans="2:4" x14ac:dyDescent="0.45">
      <c r="B15" s="17" t="s">
        <v>12</v>
      </c>
      <c r="C15" s="18">
        <f>600000-5000</f>
        <v>595000</v>
      </c>
    </row>
    <row r="16" spans="2:4" x14ac:dyDescent="0.45">
      <c r="B16" s="19" t="s">
        <v>13</v>
      </c>
      <c r="C16" s="20">
        <f>'[1]Tableau de tréso pr'!C8</f>
        <v>160000</v>
      </c>
    </row>
    <row r="17" spans="2:3" x14ac:dyDescent="0.45">
      <c r="B17" s="21" t="s">
        <v>14</v>
      </c>
      <c r="C17" s="9">
        <v>30000</v>
      </c>
    </row>
    <row r="18" spans="2:3" x14ac:dyDescent="0.45">
      <c r="B18" s="8" t="s">
        <v>15</v>
      </c>
      <c r="C18" s="9">
        <f>'[1]Tableau de tréso pr'!U16+C8</f>
        <v>725000</v>
      </c>
    </row>
    <row r="19" spans="2:3" x14ac:dyDescent="0.45">
      <c r="B19" s="8" t="s">
        <v>16</v>
      </c>
      <c r="C19" s="9"/>
    </row>
    <row r="20" spans="2:3" x14ac:dyDescent="0.45">
      <c r="B20" s="14" t="s">
        <v>17</v>
      </c>
      <c r="C20" s="22"/>
    </row>
    <row r="21" spans="2:3" x14ac:dyDescent="0.45">
      <c r="B21" s="23" t="s">
        <v>18</v>
      </c>
      <c r="C21" s="24">
        <f>SUM(C17:C20)+C15</f>
        <v>1350000</v>
      </c>
    </row>
    <row r="22" spans="2:3" x14ac:dyDescent="0.45">
      <c r="B22" s="25" t="s">
        <v>19</v>
      </c>
      <c r="C22" s="25">
        <f>C11-C21</f>
        <v>0</v>
      </c>
    </row>
    <row r="24" spans="2:3" x14ac:dyDescent="0.45">
      <c r="B24" s="26" t="s">
        <v>20</v>
      </c>
      <c r="C24" s="27" t="s">
        <v>21</v>
      </c>
    </row>
    <row r="25" spans="2:3" x14ac:dyDescent="0.45">
      <c r="B25" s="28" t="s">
        <v>22</v>
      </c>
      <c r="C25" s="29">
        <f>C15/5</f>
        <v>119000</v>
      </c>
    </row>
    <row r="26" spans="2:3" x14ac:dyDescent="0.45">
      <c r="B26" s="30" t="s">
        <v>23</v>
      </c>
      <c r="C26" s="31">
        <f>C15/C7</f>
        <v>0.5</v>
      </c>
    </row>
    <row r="27" spans="2:3" x14ac:dyDescent="0.45">
      <c r="B27" s="32" t="s">
        <v>24</v>
      </c>
      <c r="C27" s="33">
        <f>C18/C7</f>
        <v>0.60924369747899154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PFI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Rousset</dc:creator>
  <cp:lastModifiedBy>Oscar Rousset</cp:lastModifiedBy>
  <dcterms:created xsi:type="dcterms:W3CDTF">2026-06-16T23:00:09Z</dcterms:created>
  <dcterms:modified xsi:type="dcterms:W3CDTF">2026-06-16T23:03:01Z</dcterms:modified>
</cp:coreProperties>
</file>