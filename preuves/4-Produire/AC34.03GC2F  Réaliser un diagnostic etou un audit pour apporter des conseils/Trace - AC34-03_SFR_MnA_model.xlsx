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Objects="none" codeName="ThisWorkbook"/>
  <mc:AlternateContent xmlns:mc="http://schemas.openxmlformats.org/markup-compatibility/2006">
    <mc:Choice Requires="x15">
      <x15ac:absPath xmlns:x15ac="http://schemas.microsoft.com/office/spreadsheetml/2010/11/ac" url="https://d.docs.live.net/438b0d8ad050c8f0/Documents/Travail/Projets annexes/Projet SFR/"/>
    </mc:Choice>
  </mc:AlternateContent>
  <xr:revisionPtr revIDLastSave="0" documentId="13_ncr:40000001_{38E3789F-3B41-4A7B-841C-6179ED367EFC}" xr6:coauthVersionLast="47" xr6:coauthVersionMax="47" xr10:uidLastSave="{00000000-0000-0000-0000-000000000000}"/>
  <bookViews>
    <workbookView xWindow="-120" yWindow="-120" windowWidth="29040" windowHeight="15840" tabRatio="500" activeTab="4" xr2:uid="{00000000-000D-0000-FFFF-FFFF00000000}"/>
  </bookViews>
  <sheets>
    <sheet name="Cover" sheetId="9" r:id="rId1"/>
    <sheet name="A. Sources comptables" sheetId="1" r:id="rId2"/>
    <sheet name="1. Historique" sheetId="2" r:id="rId3"/>
    <sheet name="2. Projections" sheetId="3" r:id="rId4"/>
    <sheet name="3. DCF" sheetId="4" r:id="rId5"/>
    <sheet name="4. Multiples" sheetId="5" r:id="rId6"/>
    <sheet name="5. Bridge EV→Equity" sheetId="6" r:id="rId7"/>
    <sheet name="6. Synthèse" sheetId="7" r:id="rId8"/>
    <sheet name="Word" sheetId="11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4" i="2" l="1"/>
  <c r="C12" i="2"/>
  <c r="C11" i="2"/>
  <c r="C17" i="7"/>
  <c r="C16" i="7"/>
  <c r="C15" i="7"/>
  <c r="C14" i="7"/>
  <c r="C13" i="7"/>
  <c r="E9" i="7"/>
  <c r="D9" i="7"/>
  <c r="C9" i="7"/>
  <c r="E8" i="7"/>
  <c r="D8" i="7"/>
  <c r="C8" i="7"/>
  <c r="C15" i="5"/>
  <c r="C26" i="6"/>
  <c r="C25" i="6"/>
  <c r="C24" i="6"/>
  <c r="E15" i="6"/>
  <c r="D15" i="6"/>
  <c r="C15" i="6"/>
  <c r="E8" i="6"/>
  <c r="D8" i="6"/>
  <c r="C8" i="6"/>
  <c r="E25" i="6"/>
  <c r="D25" i="6"/>
  <c r="E32" i="4"/>
  <c r="D32" i="4"/>
  <c r="C32" i="4"/>
  <c r="C31" i="4"/>
  <c r="C33" i="4"/>
  <c r="E25" i="4"/>
  <c r="D25" i="4"/>
  <c r="C25" i="4"/>
  <c r="C19" i="4"/>
  <c r="C10" i="4"/>
  <c r="C11" i="4"/>
  <c r="C15" i="4"/>
  <c r="D23" i="3"/>
  <c r="D24" i="3" s="1"/>
  <c r="J17" i="3"/>
  <c r="D17" i="3"/>
  <c r="P13" i="3"/>
  <c r="P14" i="3" s="1"/>
  <c r="J13" i="3"/>
  <c r="J14" i="3" s="1"/>
  <c r="D13" i="3"/>
  <c r="E13" i="3" s="1"/>
  <c r="E17" i="3" l="1"/>
  <c r="F17" i="3" s="1"/>
  <c r="G17" i="3" s="1"/>
  <c r="H17" i="3" s="1"/>
  <c r="D14" i="3"/>
  <c r="E25" i="2"/>
  <c r="C25" i="2"/>
  <c r="E24" i="2"/>
  <c r="D24" i="2"/>
  <c r="C24" i="2"/>
  <c r="E23" i="2"/>
  <c r="D23" i="2"/>
  <c r="C23" i="2"/>
  <c r="E21" i="2"/>
  <c r="D21" i="2"/>
  <c r="C21" i="2"/>
  <c r="C18" i="2"/>
  <c r="E18" i="2"/>
  <c r="D18" i="2"/>
  <c r="E17" i="2"/>
  <c r="D17" i="2"/>
  <c r="C17" i="2"/>
  <c r="E16" i="2"/>
  <c r="D16" i="2"/>
  <c r="C16" i="2"/>
  <c r="E15" i="2"/>
  <c r="D15" i="2"/>
  <c r="C15" i="2"/>
  <c r="E14" i="2"/>
  <c r="D14" i="2"/>
  <c r="E13" i="2"/>
  <c r="D13" i="2"/>
  <c r="C13" i="2"/>
  <c r="E11" i="2"/>
  <c r="D11" i="2"/>
  <c r="E26" i="6"/>
  <c r="D26" i="6"/>
  <c r="E16" i="6"/>
  <c r="E19" i="6" s="1"/>
  <c r="D16" i="6"/>
  <c r="C16" i="6"/>
  <c r="C19" i="6" s="1"/>
  <c r="D25" i="5"/>
  <c r="C24" i="5"/>
  <c r="D24" i="5" s="1"/>
  <c r="G10" i="5"/>
  <c r="G9" i="5"/>
  <c r="G8" i="5"/>
  <c r="G7" i="5"/>
  <c r="C16" i="5" s="1"/>
  <c r="G6" i="5"/>
  <c r="G5" i="5"/>
  <c r="E14" i="4"/>
  <c r="D14" i="4"/>
  <c r="C14" i="4"/>
  <c r="E9" i="4"/>
  <c r="E10" i="4" s="1"/>
  <c r="E11" i="4" s="1"/>
  <c r="E15" i="4" s="1"/>
  <c r="D9" i="4"/>
  <c r="D10" i="4" s="1"/>
  <c r="D11" i="4" s="1"/>
  <c r="D15" i="4" s="1"/>
  <c r="C9" i="4"/>
  <c r="T22" i="3"/>
  <c r="S22" i="3"/>
  <c r="R22" i="3"/>
  <c r="Q22" i="3"/>
  <c r="P22" i="3"/>
  <c r="N22" i="3"/>
  <c r="M22" i="3"/>
  <c r="L22" i="3"/>
  <c r="K22" i="3"/>
  <c r="J22" i="3"/>
  <c r="H22" i="3"/>
  <c r="G22" i="3"/>
  <c r="F22" i="3"/>
  <c r="E22" i="3"/>
  <c r="D22" i="3"/>
  <c r="Q13" i="3"/>
  <c r="J15" i="3"/>
  <c r="E9" i="2"/>
  <c r="D9" i="2"/>
  <c r="C9" i="2"/>
  <c r="E8" i="2"/>
  <c r="D8" i="2"/>
  <c r="C8" i="2"/>
  <c r="E7" i="2"/>
  <c r="D7" i="2"/>
  <c r="C7" i="2"/>
  <c r="E6" i="2"/>
  <c r="D6" i="2"/>
  <c r="C6" i="2"/>
  <c r="E5" i="2"/>
  <c r="D5" i="2"/>
  <c r="C5" i="2"/>
  <c r="E30" i="1"/>
  <c r="D30" i="1"/>
  <c r="C30" i="1"/>
  <c r="E27" i="1"/>
  <c r="D27" i="1"/>
  <c r="C27" i="1"/>
  <c r="E16" i="1"/>
  <c r="D16" i="1"/>
  <c r="C16" i="1"/>
  <c r="D10" i="2" l="1"/>
  <c r="E12" i="2"/>
  <c r="C17" i="5"/>
  <c r="C23" i="5" s="1"/>
  <c r="D23" i="5" s="1"/>
  <c r="E6" i="7" s="1"/>
  <c r="C14" i="5"/>
  <c r="C22" i="5" s="1"/>
  <c r="D22" i="5" s="1"/>
  <c r="P15" i="3"/>
  <c r="P18" i="3" s="1"/>
  <c r="P23" i="3" s="1"/>
  <c r="D19" i="3"/>
  <c r="D20" i="3" s="1"/>
  <c r="D15" i="3"/>
  <c r="D18" i="3" s="1"/>
  <c r="P19" i="3"/>
  <c r="P20" i="3" s="1"/>
  <c r="E22" i="2"/>
  <c r="D12" i="2"/>
  <c r="E10" i="2"/>
  <c r="D25" i="2"/>
  <c r="D22" i="2"/>
  <c r="C22" i="2"/>
  <c r="C30" i="4"/>
  <c r="D30" i="4"/>
  <c r="R13" i="3"/>
  <c r="Q15" i="3"/>
  <c r="Q19" i="3"/>
  <c r="Q20" i="3" s="1"/>
  <c r="Q14" i="3"/>
  <c r="E30" i="4"/>
  <c r="J16" i="3"/>
  <c r="J18" i="3"/>
  <c r="J23" i="3" s="1"/>
  <c r="K13" i="3"/>
  <c r="C21" i="5"/>
  <c r="D21" i="5" s="1"/>
  <c r="C6" i="7" s="1"/>
  <c r="J19" i="3"/>
  <c r="J20" i="3" s="1"/>
  <c r="P16" i="3" l="1"/>
  <c r="P21" i="3"/>
  <c r="D21" i="3"/>
  <c r="D16" i="3"/>
  <c r="P24" i="3"/>
  <c r="E19" i="4" s="1"/>
  <c r="F13" i="3"/>
  <c r="E19" i="3"/>
  <c r="E20" i="3" s="1"/>
  <c r="E15" i="3"/>
  <c r="E14" i="3"/>
  <c r="J24" i="3"/>
  <c r="D19" i="4" s="1"/>
  <c r="Q18" i="3"/>
  <c r="Q23" i="3" s="1"/>
  <c r="Q24" i="3" s="1"/>
  <c r="E20" i="4" s="1"/>
  <c r="Q21" i="3"/>
  <c r="Q16" i="3"/>
  <c r="E6" i="6"/>
  <c r="D6" i="6"/>
  <c r="C6" i="6"/>
  <c r="D6" i="7"/>
  <c r="K15" i="3"/>
  <c r="K19" i="3"/>
  <c r="K20" i="3" s="1"/>
  <c r="K14" i="3"/>
  <c r="L13" i="3"/>
  <c r="S13" i="3"/>
  <c r="R19" i="3"/>
  <c r="R20" i="3" s="1"/>
  <c r="R15" i="3"/>
  <c r="R14" i="3"/>
  <c r="J21" i="3"/>
  <c r="E18" i="3" l="1"/>
  <c r="E23" i="3" s="1"/>
  <c r="E24" i="3" s="1"/>
  <c r="C20" i="4" s="1"/>
  <c r="E21" i="3"/>
  <c r="E16" i="3"/>
  <c r="F19" i="3"/>
  <c r="F20" i="3" s="1"/>
  <c r="F15" i="3"/>
  <c r="F14" i="3"/>
  <c r="G13" i="3"/>
  <c r="K16" i="3"/>
  <c r="K21" i="3"/>
  <c r="K18" i="3"/>
  <c r="K23" i="3" s="1"/>
  <c r="K24" i="3" s="1"/>
  <c r="D20" i="4" s="1"/>
  <c r="R18" i="3"/>
  <c r="R23" i="3" s="1"/>
  <c r="R24" i="3" s="1"/>
  <c r="E21" i="4" s="1"/>
  <c r="R21" i="3"/>
  <c r="R16" i="3"/>
  <c r="L15" i="3"/>
  <c r="L19" i="3"/>
  <c r="L20" i="3" s="1"/>
  <c r="L14" i="3"/>
  <c r="M13" i="3"/>
  <c r="S19" i="3"/>
  <c r="S20" i="3" s="1"/>
  <c r="S14" i="3"/>
  <c r="S15" i="3"/>
  <c r="T13" i="3"/>
  <c r="G15" i="3" l="1"/>
  <c r="G19" i="3"/>
  <c r="G20" i="3" s="1"/>
  <c r="G14" i="3"/>
  <c r="H13" i="3"/>
  <c r="F21" i="3"/>
  <c r="F16" i="3"/>
  <c r="F18" i="3"/>
  <c r="F23" i="3" s="1"/>
  <c r="F24" i="3" s="1"/>
  <c r="C21" i="4" s="1"/>
  <c r="L21" i="3"/>
  <c r="L16" i="3"/>
  <c r="L18" i="3"/>
  <c r="L23" i="3" s="1"/>
  <c r="L24" i="3" s="1"/>
  <c r="D21" i="4" s="1"/>
  <c r="S18" i="3"/>
  <c r="S23" i="3" s="1"/>
  <c r="S24" i="3" s="1"/>
  <c r="E22" i="4" s="1"/>
  <c r="S21" i="3"/>
  <c r="S16" i="3"/>
  <c r="M19" i="3"/>
  <c r="M20" i="3" s="1"/>
  <c r="M14" i="3"/>
  <c r="N13" i="3"/>
  <c r="M15" i="3"/>
  <c r="T14" i="3"/>
  <c r="T15" i="3"/>
  <c r="T19" i="3"/>
  <c r="T20" i="3" s="1"/>
  <c r="H19" i="3" l="1"/>
  <c r="H20" i="3" s="1"/>
  <c r="H14" i="3"/>
  <c r="H15" i="3"/>
  <c r="G16" i="3"/>
  <c r="G18" i="3"/>
  <c r="G23" i="3" s="1"/>
  <c r="G24" i="3" s="1"/>
  <c r="C22" i="4" s="1"/>
  <c r="G21" i="3"/>
  <c r="T21" i="3"/>
  <c r="T16" i="3"/>
  <c r="T18" i="3"/>
  <c r="T23" i="3" s="1"/>
  <c r="T24" i="3" s="1"/>
  <c r="N15" i="3"/>
  <c r="N19" i="3"/>
  <c r="N20" i="3" s="1"/>
  <c r="N14" i="3"/>
  <c r="M16" i="3"/>
  <c r="M18" i="3"/>
  <c r="M23" i="3" s="1"/>
  <c r="M24" i="3" s="1"/>
  <c r="D22" i="4" s="1"/>
  <c r="M21" i="3"/>
  <c r="H21" i="3" l="1"/>
  <c r="H16" i="3"/>
  <c r="H18" i="3"/>
  <c r="H23" i="3" s="1"/>
  <c r="H24" i="3" s="1"/>
  <c r="E23" i="4"/>
  <c r="E36" i="4" s="1"/>
  <c r="E28" i="4"/>
  <c r="E31" i="4" s="1"/>
  <c r="E33" i="4" s="1"/>
  <c r="E37" i="4" s="1"/>
  <c r="N18" i="3"/>
  <c r="N23" i="3" s="1"/>
  <c r="N24" i="3" s="1"/>
  <c r="N21" i="3"/>
  <c r="N16" i="3"/>
  <c r="C23" i="4" l="1"/>
  <c r="C36" i="4" s="1"/>
  <c r="C28" i="4"/>
  <c r="C37" i="4" s="1"/>
  <c r="D23" i="4"/>
  <c r="D36" i="4" s="1"/>
  <c r="D28" i="4"/>
  <c r="D31" i="4" s="1"/>
  <c r="D33" i="4" s="1"/>
  <c r="D37" i="4" s="1"/>
  <c r="E38" i="4"/>
  <c r="E40" i="4" s="1"/>
  <c r="C38" i="4" l="1"/>
  <c r="E5" i="7"/>
  <c r="E39" i="4"/>
  <c r="E5" i="6"/>
  <c r="E7" i="6" s="1"/>
  <c r="D38" i="4"/>
  <c r="D40" i="4" s="1"/>
  <c r="C5" i="6" l="1"/>
  <c r="C7" i="6" s="1"/>
  <c r="C39" i="4"/>
  <c r="C5" i="7"/>
  <c r="C40" i="4"/>
  <c r="D5" i="7"/>
  <c r="D39" i="4"/>
  <c r="D5" i="6"/>
  <c r="D7" i="6" s="1"/>
  <c r="E24" i="6"/>
  <c r="E7" i="7"/>
  <c r="C7" i="7" l="1"/>
  <c r="D24" i="6"/>
  <c r="D19" i="6"/>
  <c r="D7" i="7"/>
</calcChain>
</file>

<file path=xl/sharedStrings.xml><?xml version="1.0" encoding="utf-8"?>
<sst xmlns="http://schemas.openxmlformats.org/spreadsheetml/2006/main" count="346" uniqueCount="293">
  <si>
    <t>Ligne du compte de résultat consolidé</t>
  </si>
  <si>
    <t>Notes</t>
  </si>
  <si>
    <t>COMPTE DE RÉSULTAT CONSOLIDÉ</t>
  </si>
  <si>
    <t>Revenus totaux</t>
  </si>
  <si>
    <t xml:space="preserve">  Services Entreprises (B2B + gros)</t>
  </si>
  <si>
    <t xml:space="preserve">  Ventes d'équipements</t>
  </si>
  <si>
    <t xml:space="preserve">  Médias (BFMTV/RMC)</t>
  </si>
  <si>
    <t>Cédé à CMA-CGM en juillet 2024</t>
  </si>
  <si>
    <t>Achats et sous-traitance</t>
  </si>
  <si>
    <t>Autres charges opérationnelles</t>
  </si>
  <si>
    <t>Charges de personnel</t>
  </si>
  <si>
    <t>Loyers opérationnels exclus de l'EBITDA ajusté</t>
  </si>
  <si>
    <t>EBITDA AJUSTÉ (EBITDAaL)</t>
  </si>
  <si>
    <t xml:space="preserve">  Marge EBITDA (%)</t>
  </si>
  <si>
    <t>EBITDA divise par Revenus totaux</t>
  </si>
  <si>
    <t>Dotations aux amortissements (D&amp;A)</t>
  </si>
  <si>
    <t>Incl. amort. actifs droits d'utilisation (IFRS 16)</t>
  </si>
  <si>
    <t>Autres produits et charges</t>
  </si>
  <si>
    <t>⚠ 2024 inclut ~3 Md€ de plus-values cessions actifs</t>
  </si>
  <si>
    <t>Résultat opérationnel (EBIT)</t>
  </si>
  <si>
    <t>⚠ 2022 distorsion : +1 107 M€ gains dérivés</t>
  </si>
  <si>
    <t>Quote-part résultat des sociétés mises en éq.</t>
  </si>
  <si>
    <t>Impôt sur les bénéfices</t>
  </si>
  <si>
    <t>RÉSULTAT NET (part du groupe)</t>
  </si>
  <si>
    <t>⚠ Distorsions importantes en 2022 et 2024</t>
  </si>
  <si>
    <t>CAPEX &amp; CASH-FLOWS</t>
  </si>
  <si>
    <t>Capex accrué (accrual basis)</t>
  </si>
  <si>
    <t>Capex / Revenus (%)</t>
  </si>
  <si>
    <t>Capex divise par Revenus</t>
  </si>
  <si>
    <t>Source : Note 6.4</t>
  </si>
  <si>
    <t>Variation du BFR (cash-flows)</t>
  </si>
  <si>
    <t>Source : tableau des flux de trésorerie</t>
  </si>
  <si>
    <t xml:space="preserve">  BFR % des revenus</t>
  </si>
  <si>
    <t>Trésorerie en fin de période</t>
  </si>
  <si>
    <t>⚠ 2024 : haussse due aux cessions</t>
  </si>
  <si>
    <t>Dette financière nette</t>
  </si>
  <si>
    <t>Indicateur</t>
  </si>
  <si>
    <t>Source / Note</t>
  </si>
  <si>
    <t>P&amp;L CONSOLIDÉ SYNTHÉTIQUE</t>
  </si>
  <si>
    <t>→ Onglet Sources, ligne Revenus</t>
  </si>
  <si>
    <t xml:space="preserve">    Résidentiel Fixe + Mobile</t>
  </si>
  <si>
    <t xml:space="preserve">    B2B / Services Entreprises</t>
  </si>
  <si>
    <t xml:space="preserve">    Ventes d'équipements</t>
  </si>
  <si>
    <t xml:space="preserve">    Médias (cédé juil. 2024)</t>
  </si>
  <si>
    <t>Croissance des revenus (yoy)</t>
  </si>
  <si>
    <t>EBITDA Ajusté (EBITDAaL)</t>
  </si>
  <si>
    <t xml:space="preserve">    Marge EBITDA (%)</t>
  </si>
  <si>
    <t>D&amp;A (amortissements totaux)</t>
  </si>
  <si>
    <t>Incl. amort. droits d'utilisation IFRS 16</t>
  </si>
  <si>
    <t>EBIT (résultat opérationnel)</t>
  </si>
  <si>
    <t>⚠ 2024 distorsion (plus-values cessions)</t>
  </si>
  <si>
    <t xml:space="preserve">    dont : autres produits/charges</t>
  </si>
  <si>
    <t>⚠ +2 777 M€ en 2024 = plus-values</t>
  </si>
  <si>
    <t>Résultat financier net</t>
  </si>
  <si>
    <t>⚠ 2022 distordu par gains dérivés</t>
  </si>
  <si>
    <t>Résultat net (part du groupe)</t>
  </si>
  <si>
    <t>CAPEX &amp; FREE CASH-FLOW</t>
  </si>
  <si>
    <t>Capex accrué</t>
  </si>
  <si>
    <t>Note 6.3</t>
  </si>
  <si>
    <t xml:space="preserve">    Capex / Revenus</t>
  </si>
  <si>
    <t>OpFCF (EBITDA − Capex)</t>
  </si>
  <si>
    <t>Note 6.4</t>
  </si>
  <si>
    <t xml:space="preserve">  Variation BFR (flux opérationnels)</t>
  </si>
  <si>
    <t xml:space="preserve">    BFR % des revenus</t>
  </si>
  <si>
    <t>Données issues des comptes consolidés audités Altice France SA. Toutes les cellules vertes renvoient vers l'onglet 'A. Sources comptables'.</t>
  </si>
  <si>
    <t>📌 JUSTIFICATION DE L'HYPOTHÈSE BFR POUR LES PROJECTIONS</t>
  </si>
  <si>
    <t>2025E</t>
  </si>
  <si>
    <t>2026E</t>
  </si>
  <si>
    <t>2027E</t>
  </si>
  <si>
    <t>2028E</t>
  </si>
  <si>
    <t>2029E</t>
  </si>
  <si>
    <t>Croissance CA (yoy)</t>
  </si>
  <si>
    <t>Marge EBITDA (%)</t>
  </si>
  <si>
    <t>Capex / CA (%)</t>
  </si>
  <si>
    <t>Variation BFR (€m)</t>
  </si>
  <si>
    <t>Taux d'imposition (%)</t>
  </si>
  <si>
    <t>P&amp;L PROJETÉ ET FCFF</t>
  </si>
  <si>
    <t>Chiffre d'affaires</t>
  </si>
  <si>
    <t xml:space="preserve">  Variation CA (€m yoy)</t>
  </si>
  <si>
    <t>EBITDA Ajusté</t>
  </si>
  <si>
    <t>D&amp;A (estimé stable)</t>
  </si>
  <si>
    <t>EBIT normalisé</t>
  </si>
  <si>
    <t>Capex</t>
  </si>
  <si>
    <t xml:space="preserve">  Capex / CA</t>
  </si>
  <si>
    <t>Variation BFR</t>
  </si>
  <si>
    <t>Impôts (sur EBIT × taux IS)</t>
  </si>
  <si>
    <t>FCFF</t>
  </si>
  <si>
    <t>VALORISATION PAR DCF  (€m)</t>
  </si>
  <si>
    <t>BEAR</t>
  </si>
  <si>
    <t>BASE</t>
  </si>
  <si>
    <t>BULL</t>
  </si>
  <si>
    <t>Prime de risque marché (ERP)</t>
  </si>
  <si>
    <t>Ratio D/(D+E) cible</t>
  </si>
  <si>
    <t>Ratio E/(D+E) cible</t>
  </si>
  <si>
    <t>Bêta ré-endetté (Hamada)</t>
  </si>
  <si>
    <t>Coût des fonds propres Ke</t>
  </si>
  <si>
    <t>Coût de la dette Kd (avant IS)</t>
  </si>
  <si>
    <t>Taux d'imposition</t>
  </si>
  <si>
    <t>Coût de la dette Kd (après IS)</t>
  </si>
  <si>
    <t>WACC</t>
  </si>
  <si>
    <t>ACTUALISATION DES FCFF  (€m)</t>
  </si>
  <si>
    <t>Année</t>
  </si>
  <si>
    <t>Somme FCFF actualisés (2025–2029)</t>
  </si>
  <si>
    <t>Σ PV(FCFF)</t>
  </si>
  <si>
    <t>FCFF terminal (2029E)</t>
  </si>
  <si>
    <t>Taux de croissance perpétuel (g)</t>
  </si>
  <si>
    <t>WACC (rappel)</t>
  </si>
  <si>
    <t>Valeur terminale brute = FCFF×(1+g)/(WACC−g)</t>
  </si>
  <si>
    <t>Valeur terminale actualisée</t>
  </si>
  <si>
    <t>ENTERPRISE VALUE (DCF)</t>
  </si>
  <si>
    <t>Σ PV(FCFF) 2025–2029</t>
  </si>
  <si>
    <t>EV/EBITDA 2024 implicite</t>
  </si>
  <si>
    <t>% représenté par la valeur terminale</t>
  </si>
  <si>
    <t>Transaction</t>
  </si>
  <si>
    <t>EV (€m)</t>
  </si>
  <si>
    <t>CA (€m)</t>
  </si>
  <si>
    <t>EBITDA (€m)</t>
  </si>
  <si>
    <t>EV/EBITDA</t>
  </si>
  <si>
    <t>TRANSACTIONS TÉLÉCOM EUROPÉENNES RÉCENTES</t>
  </si>
  <si>
    <t>Vodafone UK / Three UK (fusion)</t>
  </si>
  <si>
    <t>Financial Times, déc. 2024</t>
  </si>
  <si>
    <t>Communiqué Orange, mars 2023</t>
  </si>
  <si>
    <t>Proximus IR, 2023</t>
  </si>
  <si>
    <t>Deutsche Telekom / GD Towers (cession)</t>
  </si>
  <si>
    <t>Bloomberg, 2022</t>
  </si>
  <si>
    <t>Iliad / Play (Pologne)</t>
  </si>
  <si>
    <t>Communiqué Iliad, 2020</t>
  </si>
  <si>
    <t>Altice / SFR (acquisition par Drahi)</t>
  </si>
  <si>
    <t>STATISTIQUES (hors transaction 2014)</t>
  </si>
  <si>
    <t>Multiple médian</t>
  </si>
  <si>
    <t>Multiple moyen</t>
  </si>
  <si>
    <t>Quartile 25 (plancher)</t>
  </si>
  <si>
    <t>Quartile 75 (plafond)</t>
  </si>
  <si>
    <t>APPLICATION À SFR  (EBITDA 2024 ajusté = 3 429 €m)</t>
  </si>
  <si>
    <t>Scénario</t>
  </si>
  <si>
    <t>Multiple</t>
  </si>
  <si>
    <t>EV calculée (€m)</t>
  </si>
  <si>
    <t>Commentaire</t>
  </si>
  <si>
    <t>Référence centrale</t>
  </si>
  <si>
    <t>Offre consortium (jan. 2026)</t>
  </si>
  <si>
    <t>~20 Md€ / 3 429 M€ EBITDA</t>
  </si>
  <si>
    <t>Seuil créanciers (7x EBITDA)</t>
  </si>
  <si>
    <t>Condition veto CA du conseil</t>
  </si>
  <si>
    <t>BRIDGE ENTERPRISE VALUE → EQUITY VALUE  (€m)</t>
  </si>
  <si>
    <t>Note</t>
  </si>
  <si>
    <t>A. ENTERPRISE VALUE RETENUE</t>
  </si>
  <si>
    <t>EV DCF (onglet 3)</t>
  </si>
  <si>
    <t>Lien direct vers DCF</t>
  </si>
  <si>
    <t>Multiple médian × EBITDA 2024A</t>
  </si>
  <si>
    <t>EV retenue (moy. DCF + Multiples)</t>
  </si>
  <si>
    <t>Fourchette centrale retenue</t>
  </si>
  <si>
    <t xml:space="preserve">  (−) Dette financière nette (post-restructuration oct. 2025)</t>
  </si>
  <si>
    <t xml:space="preserve">  (−) Provisions &amp; engagements hors-bilan (est.)</t>
  </si>
  <si>
    <t xml:space="preserve">  (−) Intérêts minoritaires</t>
  </si>
  <si>
    <t xml:space="preserve">  (+) Trésorerie &amp; équivalents (réel 31/12/2024)</t>
  </si>
  <si>
    <t>Total ajustements (dette nette élargie)</t>
  </si>
  <si>
    <t>C. EQUITY VALUE</t>
  </si>
  <si>
    <t>EQUITY VALUE = EV + Ajustements</t>
  </si>
  <si>
    <t>D. ANALYSE DE L'OFFRE DU CONSORTIUM</t>
  </si>
  <si>
    <t>Offre actuelle consortium (~jan. 2026)</t>
  </si>
  <si>
    <t>7 x 3 429 M euros EBITDA 2024A</t>
  </si>
  <si>
    <t>Prime / (Décote) de l'offre vs EV retenue</t>
  </si>
  <si>
    <t>Offre moins EV retenue divise par EV retenue</t>
  </si>
  <si>
    <t>EV/EBITDA 2024 implicite de l'offre</t>
  </si>
  <si>
    <t>Offre divise par 3 429 M euros EBITDA</t>
  </si>
  <si>
    <t>Upside nécessaire pour atteindre seuil créanciers</t>
  </si>
  <si>
    <t>Seuil moins Offre divise par Offre</t>
  </si>
  <si>
    <t>Méthode</t>
  </si>
  <si>
    <t>RÉCAPITULATIF DES VALORISATIONS EV</t>
  </si>
  <si>
    <t>DCF (WACC scénarisé)</t>
  </si>
  <si>
    <t>Très sensible au WACC et à la valeur terminale</t>
  </si>
  <si>
    <t>Multiples EV/EBITDA (Q1–Q3)</t>
  </si>
  <si>
    <t>Basé sur 5 transactions télécom EU récentes</t>
  </si>
  <si>
    <t>EV centrale retenue (moy.)</t>
  </si>
  <si>
    <t>Fourchette de valorisation stand-alone</t>
  </si>
  <si>
    <t>7× EBITDA 2024A = 23,0 Md€</t>
  </si>
  <si>
    <t>ANALYSE SYNTHÉTIQUE DE L'OFFRE</t>
  </si>
  <si>
    <t>EV/EBITDA implicite offre (20 Md€)</t>
  </si>
  <si>
    <t>Versus médiane transactions ~6–7x</t>
  </si>
  <si>
    <t>Prime / (décote) vs EV centrale Bear</t>
  </si>
  <si>
    <t>Prime / (décote) vs EV centrale Base</t>
  </si>
  <si>
    <t>Prime / (décote) vs EV centrale Bull</t>
  </si>
  <si>
    <t>Gap avec seuil créanciers (23,0 Md€)</t>
  </si>
  <si>
    <t>M€ à combler dans la négociation</t>
  </si>
  <si>
    <t>RISQUES &amp; POINTS DE VIGILANCE POUR L'ACQUÉREUR</t>
  </si>
  <si>
    <t>⚠ Antitrust : Le régulateur ne rendra pas de décision avant fin 2026/début 2027 selon l'Autorité de la concurrence. Risque de blocage ou de remèdes coûteux (cession d'actifs, MVNO imposé).</t>
  </si>
  <si>
    <t>⚠ Attrition abonnés : SFR a perdu &gt;1,5M abonnés mobiles en 2 ans. La stabilisation (plan SFR Imagine) est une hypothèse centrale mais non garantie. Le scénario Bear assume une poursuite du déclin.</t>
  </si>
  <si>
    <t>⚠ Exécution post-closing : Intégration d'un acteur avec 25M clients, 30k salariés, ~30 Md€ de dette résiduelle. Risque opérationnel majeur de migration des clients et des systèmes.</t>
  </si>
  <si>
    <t>⚠ Dette résiduelle : 15,5 Md€ de dette + ~3,2 Md€ de leasing IFRS 16. Le service de la dette absorbera l'essentiel des FCF des premières années post-acquisition.</t>
  </si>
  <si>
    <t xml:space="preserve">SENARIOS </t>
  </si>
  <si>
    <t xml:space="preserve">           </t>
  </si>
  <si>
    <t>Coût de l'endettement financier net (RF)</t>
  </si>
  <si>
    <t>Convention de couleurs</t>
  </si>
  <si>
    <t>Texte bleu</t>
  </si>
  <si>
    <t>Hypothèse saisie manuellement (input)</t>
  </si>
  <si>
    <t>Texte noir</t>
  </si>
  <si>
    <t>Formule calculée</t>
  </si>
  <si>
    <t>Texte vert</t>
  </si>
  <si>
    <t>Lien vers un autre onglet</t>
  </si>
  <si>
    <t>Point de vue : Consortium Bouygues Telecom / Iliad / Orange</t>
  </si>
  <si>
    <t>Date de l'analyse</t>
  </si>
  <si>
    <t>Avril 2026</t>
  </si>
  <si>
    <t>Transaction de référence</t>
  </si>
  <si>
    <t>Offre consortium ~20 Md€ (jan. 2026)</t>
  </si>
  <si>
    <t>CA SFR 2024A</t>
  </si>
  <si>
    <t>10,0 Md€</t>
  </si>
  <si>
    <t>EBITDA SFR 2024A</t>
  </si>
  <si>
    <t>3,3 Md€</t>
  </si>
  <si>
    <t>Dette nette post-restructuration</t>
  </si>
  <si>
    <t>~15,5 Md€</t>
  </si>
  <si>
    <t>Méthodes de valorisation</t>
  </si>
  <si>
    <t>DCF + Multiples comparables</t>
  </si>
  <si>
    <t>Structure du modèle</t>
  </si>
  <si>
    <t>1. Historique</t>
  </si>
  <si>
    <t>P&amp;L, KPIs opérationnels SFR 2021–2024</t>
  </si>
  <si>
    <t>2. Projections</t>
  </si>
  <si>
    <t>Scénarios Bear / Base / Bull 2025E–2029E</t>
  </si>
  <si>
    <t>3. DCF</t>
  </si>
  <si>
    <t>FCFF, WACC, valeur terminale → Enterprise Value</t>
  </si>
  <si>
    <t>4. Multiples</t>
  </si>
  <si>
    <t>EV/EBITDA sur transactions télécom européennes</t>
  </si>
  <si>
    <t>5. Bridge</t>
  </si>
  <si>
    <t>Enterprise Value → Equity Value</t>
  </si>
  <si>
    <t>6. Synthèse</t>
  </si>
  <si>
    <t>Football field — fourchettes de valorisation</t>
  </si>
  <si>
    <t>Facteur d'actualisation (1/(1+WACC)^n)</t>
  </si>
  <si>
    <t>Hypothèses Bear</t>
  </si>
  <si>
    <t>25E</t>
  </si>
  <si>
    <t>26E</t>
  </si>
  <si>
    <t>27E</t>
  </si>
  <si>
    <t>28E</t>
  </si>
  <si>
    <t>29E</t>
  </si>
  <si>
    <t>Hypothèses Base</t>
  </si>
  <si>
    <t>Hypothèses Bull</t>
  </si>
  <si>
    <t>ANALYSE M&amp;A - VALORISATION SFR / ALTICE FRANCE</t>
  </si>
  <si>
    <t>Projet d'études - Valorisation &amp; modélisation financière</t>
  </si>
  <si>
    <t>ALTICE FRANCE - COMPTES CONSOLIDÉS IFRS (source : rapports officiels)  (€m)</t>
  </si>
  <si>
    <t>Note 6.1 - cf. détail par segment ci-dessous</t>
  </si>
  <si>
    <t>Non-GAAP - Note 6.2. Exclut loyers IFRS 16</t>
  </si>
  <si>
    <t xml:space="preserve">  Résidentiel - Fixe</t>
  </si>
  <si>
    <t xml:space="preserve">  Résidentiel - Mobile</t>
  </si>
  <si>
    <t>Loyers (IFRS 16 - EBITDAaL)</t>
  </si>
  <si>
    <t>OpFCF = EBITDA - Capex</t>
  </si>
  <si>
    <t>⚠ 2024 non comparable -- distorsion plus-values</t>
  </si>
  <si>
    <t>Note 6.3 - hors Altice TV/Media</t>
  </si>
  <si>
    <t>Calculé - très volatile (cf. note)</t>
  </si>
  <si>
    <t>Source : Note 24.4 - hors Altice TV/Participations</t>
  </si>
  <si>
    <t>⚠ NOTES IMPORTANTES SUR LES DISTORSIONS COMPTABLES
• 2024 - Résultat net &amp; EBIT : inclut +3,0 Md€ de plus-values de cessions (UltraEdge, XpFibre, Altice Media, La Poste Telecom). Non récurrent - à neutraliser dans toute analyse de valorisation.
• 2024 - Variation BFR +368 M€ : partiellement liée à l'affacturage inversé (reverse factoring). La variation opérationnelle normalisée est estimée à -100 M€/an en rythme de croisière.
• 2022 - Résultat financier quasi nul (-88 M€) : masqué par +1 107 M€ de gains sur dérivés de change. Le coût réel de la dette était ~800 M€/an.
• D&amp;A : inclut l'amortissement des actifs droits d'utilisation IFRS 16. L'EBITDAaL (Adjusted EBITDA) déduit les loyers opérationnels, conformément aux standards sectoriels.</t>
  </si>
  <si>
    <t>Source : Altice France SA -- Comptes consolidés IFRS 2024 (exercice clos le 31/12/2024), 2023 et 2022. Commissaires aux comptes : rapports joints.</t>
  </si>
  <si>
    <t>SFR / ALTICE FRANCE - DONNÉES HISTORIQUES  (€m, données auditées)</t>
  </si>
  <si>
    <t>Non récurrent - à exclure des proj.</t>
  </si>
  <si>
    <t>Non-GAAP - après loyers IFRS 16</t>
  </si>
  <si>
    <t>⚠ Distorsions 2022 et 2024 - cf. notes</t>
  </si>
  <si>
    <t>⚠ Très volatile - cf. notes</t>
  </si>
  <si>
    <t>La variation de BFR est historiquement très volatile chez Altice France :
• 2022 : −131,8 M€ (sortie) → BFR = 1,2% des revenus
• 2023 : −335,0 M€ (sortie) → BFR = 3,0% des revenus (impact programme départs volontaires)
• 2024 : +367,7 M€ (entrée) → trompeuse - liée aux cessions d'actifs et à la réduction de l'affacturage inversé
Hypothèse retenue pour les projections : −100 M€/an (≈ 1,0% du CA) = moyenne normalisée sur 3 ans hors éléments exceptionnels.
Cette hypothèse est conservatrice (cash outflow modéré) et cohérente avec le profil d'un opérateur télécom en phase de stabilisation.
Un opérateur télécom mature a typiquement un BFR négatif stable (abonnés paient à terme échu), la variation est donc structurellement faible.</t>
  </si>
  <si>
    <t>PROJECTIONS FINANCIÈRES 2025E–2029E - 3 SCÉNARIOS  (€m)</t>
  </si>
  <si>
    <t>◄ BEAR - Dégradation persistante</t>
  </si>
  <si>
    <t>BASE - Redressement progressif</t>
  </si>
  <si>
    <t>BULL - Rebond commercial</t>
  </si>
  <si>
    <t>HYPOTHÈSES CLÉS (inputs en bleu - modifiables)</t>
  </si>
  <si>
    <t>Note méthodologique - FCFF : EBITDA + Capex (négatif) + Variation BFR (sortie cash) + Impôts. D&amp;A maintenu constant à niveau 2024 (hypothèse conservatrice). Pour des projections professionnelles, le D&amp;A devrait décliner proportionnellement au Capex.</t>
  </si>
  <si>
    <t>WACC - COÛT MOYEN PONDÉRÉ DU CAPITAL</t>
  </si>
  <si>
    <t>Taux sans risque - OAT 10 ans (réf. avr. 2026)</t>
  </si>
  <si>
    <t>Bêta désendetté - secteur télécom EU</t>
  </si>
  <si>
    <t>VALEUR TERMINALE - Gordon-Shapiro</t>
  </si>
  <si>
    <t>Note DCF : 
WACC : Bêta ré-endetté calculé via formule Hamada -- β_L = β_U × [1 + D/E × (1−t)]. 
Taux sans risque = OAT 10 ans avril 2026 (≈3,3%). 
ERP = 5,5% (source Damodaran). 
g = 1,5% = taux de croissance nominale long terme du secteur télécom européen. 
Valeur terminale brute calculé via la méthode Gordon-Shapiro = FCFF×(1+g)/(WACC−g) 
⚠ La valeur terminale représente souvent 70-80% de l'EV - les hypothèses de WACC et g sont donc critiques.</t>
  </si>
  <si>
    <t>VALORISATION PAR LES MULTIPLES - TRANSACTIONS COMPARABLES  (€m)</t>
  </si>
  <si>
    <t>Orange / MásMóvil - JV Espagne</t>
  </si>
  <si>
    <t>Proximus / BICS - acquisition</t>
  </si>
  <si>
    <t>Réf. historique - base de comparaison</t>
  </si>
  <si>
    <t>⚠ Ligne 2014 (Drahi/SFR) = référence historique - exclue des statistiques car non comparable au marché actuel</t>
  </si>
  <si>
    <t>Bear - plancher (Q1)</t>
  </si>
  <si>
    <t>Multiple bas - dégradation commerciale</t>
  </si>
  <si>
    <t>Central - médiane</t>
  </si>
  <si>
    <t>Bull - plafond (Q3)</t>
  </si>
  <si>
    <t>Multiple haut - redressement confirmé</t>
  </si>
  <si>
    <t>EV Multiples - médiane</t>
  </si>
  <si>
    <t>B. DÉDUCTIONS - DETTE &amp; AJUSTEMENTS  (données sources : Note 24.4)</t>
  </si>
  <si>
    <t>Source : après plan sauvegarde - environ 15,5 Md€</t>
  </si>
  <si>
    <t xml:space="preserve">  (−) Obligations locatives (IFRS 16 - hors EBITDA)</t>
  </si>
  <si>
    <t>Estimé d'après niveau loyers × 2,6x - à affiner DD</t>
  </si>
  <si>
    <t>Estimé - retraites, litiges, garanties</t>
  </si>
  <si>
    <t>Source comptes consolidés - NCI faibles</t>
  </si>
  <si>
    <t>Source : Note 24.4 - 2 867 M€</t>
  </si>
  <si>
    <t>Dette incluse - source presse/BFM Business</t>
  </si>
  <si>
    <t>Seuil créanciers - veto à moins de 7x EBITDA</t>
  </si>
  <si>
    <t>Note dettes : La dette financière nette post-restructuration (oct. 2025) est estimée à ~15,5 Md€ (Altice France post plan sauvegarde). Les obligations locatives IFRS 16 (~3,2 Md€ estimé) ne sont pas dans la dette nette stricte mais représentent un engagement réel. À affiner via due diligence. La trésorerie de 2 867 M€ inclut des cash issus des cessions 2024 - partiellement affectée au désendettement.</t>
  </si>
  <si>
    <t>SYNTHÈSE - FOOTBALL FIELD  (Enterprise Value, €m)</t>
  </si>
  <si>
    <t>Offre révisée ~20 Md€ - due dil. en cours</t>
  </si>
  <si>
    <t>Seuil créanciers - veto</t>
  </si>
  <si>
    <t>⚠ Synergies non modélisées : L'onglet actuel valorise SFR en standalone. Les synergies (réseau, SI, RH, achats) pour Bouygues/Free/Orange pourraient ajouter 1–3 Md€ de valeur actualisée - à modéliser séparément.</t>
  </si>
  <si>
    <t>⚠ Régulation des fréquences 5G : Renouvellement de licences à anticiper - impact capex significatif non inclus dans les projections actuelles.</t>
  </si>
  <si>
    <t>Source des données : Altice France SA - comptes consolidés audités 2022, 2023, 2024. Comparables : presse financière, Bloomberg. Modèle construit à des fins pédagogiques.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</si>
</sst>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;\(#,##0.0\);\-"/>
    <numFmt numFmtId="165" formatCode="0.0%;\(0.0%\);\-"/>
    <numFmt numFmtId="166" formatCode="#,##0;\(#,##0\);\-"/>
    <numFmt numFmtId="167" formatCode="0.00;\(0.00\);\-"/>
    <numFmt numFmtId="168" formatCode="0.000;\(0.000\);\-"/>
    <numFmt numFmtId="169" formatCode="0.0\x"/>
    <numFmt numFmtId="170" formatCode="#,##0.0"/>
  </numFmts>
  <fonts count="30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color rgb="FF0000FF"/>
      <name val="Arial"/>
      <family val="2"/>
    </font>
    <font>
      <i/>
      <sz val="9"/>
      <color rgb="FFBFBFBF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b/>
      <sz val="10"/>
      <color rgb="FF008000"/>
      <name val="Arial"/>
      <family val="2"/>
    </font>
    <font>
      <sz val="9"/>
      <color rgb="FF2E4D7B"/>
      <name val="Arial"/>
      <family val="2"/>
    </font>
    <font>
      <b/>
      <sz val="10"/>
      <color rgb="FF1F3864"/>
      <name val="Arial"/>
      <family val="2"/>
    </font>
    <font>
      <sz val="9"/>
      <color rgb="FF000000"/>
      <name val="Arial"/>
      <family val="2"/>
    </font>
    <font>
      <i/>
      <sz val="9"/>
      <color theme="1" tint="0.34998626667073579"/>
      <name val="Arial"/>
      <family val="2"/>
    </font>
    <font>
      <sz val="11"/>
      <color theme="1" tint="0.34998626667073579"/>
      <name val="Calibri"/>
      <family val="2"/>
      <charset val="1"/>
    </font>
    <font>
      <sz val="9"/>
      <color theme="1" tint="0.34998626667073579"/>
      <name val="Arial"/>
      <family val="2"/>
    </font>
    <font>
      <sz val="10"/>
      <color theme="0" tint="-0.34998626667073579"/>
      <name val="Arial"/>
      <family val="2"/>
    </font>
    <font>
      <b/>
      <sz val="11"/>
      <color rgb="FF1F3864"/>
      <name val="Arial"/>
      <family val="2"/>
    </font>
    <font>
      <b/>
      <sz val="10"/>
      <color rgb="FF0000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8000"/>
      <name val="Arial"/>
      <family val="2"/>
    </font>
    <font>
      <b/>
      <sz val="14"/>
      <color rgb="FFFFFFFF"/>
      <name val="Arial"/>
      <family val="2"/>
    </font>
    <font>
      <i/>
      <sz val="11"/>
      <color rgb="FF2E4D7B"/>
      <name val="Arial"/>
      <family val="2"/>
    </font>
    <font>
      <i/>
      <sz val="10"/>
      <color theme="1" tint="0.34998626667073579"/>
      <name val="Arial"/>
      <family val="2"/>
    </font>
    <font>
      <b/>
      <sz val="10"/>
      <color rgb="FF2E4D7B"/>
      <name val="Arial"/>
      <family val="2"/>
    </font>
    <font>
      <b/>
      <sz val="10"/>
      <color rgb="FFFFFFFF"/>
      <name val="Arial"/>
      <family val="2"/>
    </font>
    <font>
      <sz val="11"/>
      <color theme="1"/>
      <name val="Calibri"/>
      <family val="2"/>
      <charset val="1"/>
    </font>
    <font>
      <sz val="10"/>
      <name val="Arial"/>
      <family val="2"/>
    </font>
    <font>
      <strike/>
      <sz val="11"/>
      <color theme="1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2E4D7B"/>
      </patternFill>
    </fill>
    <fill>
      <patternFill patternType="solid">
        <fgColor rgb="FF2E4D7B"/>
        <bgColor rgb="FF1F3864"/>
      </patternFill>
    </fill>
    <fill>
      <patternFill patternType="solid">
        <fgColor rgb="FFD6E4F7"/>
        <bgColor rgb="FFEEF4FB"/>
      </patternFill>
    </fill>
    <fill>
      <patternFill patternType="solid">
        <fgColor rgb="FFEEF4FB"/>
        <bgColor rgb="FFF2F2F2"/>
      </patternFill>
    </fill>
    <fill>
      <patternFill patternType="solid">
        <fgColor rgb="FFFCE4D6"/>
        <bgColor rgb="FFF2F2F2"/>
      </patternFill>
    </fill>
    <fill>
      <patternFill patternType="solid">
        <fgColor rgb="FFF2F2F2"/>
        <bgColor rgb="FFEEF4FB"/>
      </patternFill>
    </fill>
    <fill>
      <patternFill patternType="solid">
        <fgColor rgb="FFFFFFFF"/>
        <bgColor rgb="FFEEF4FB"/>
      </patternFill>
    </fill>
    <fill>
      <patternFill patternType="solid">
        <fgColor rgb="FF4472C4"/>
        <bgColor rgb="FF666699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2E4D7B"/>
        <bgColor rgb="FF666699"/>
      </patternFill>
    </fill>
  </fills>
  <borders count="5">
    <border>
      <left/>
      <right/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9" fontId="27" fillId="0" borderId="0" applyFont="0" applyFill="0" applyBorder="0" applyAlignment="0" applyProtection="0"/>
  </cellStyleXfs>
  <cellXfs count="1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3" fillId="4" borderId="0" xfId="0" applyFont="1" applyFill="1" applyAlignment="1">
      <alignment horizontal="left" vertical="center"/>
    </xf>
    <xf numFmtId="164" fontId="4" fillId="4" borderId="0" xfId="0" applyNumberFormat="1" applyFont="1" applyFill="1" applyAlignment="1">
      <alignment horizontal="right" vertical="center"/>
    </xf>
    <xf numFmtId="0" fontId="6" fillId="5" borderId="0" xfId="0" applyFont="1" applyFill="1" applyAlignment="1">
      <alignment horizontal="left" vertical="center"/>
    </xf>
    <xf numFmtId="164" fontId="7" fillId="5" borderId="0" xfId="0" applyNumberFormat="1" applyFont="1" applyFill="1" applyAlignment="1">
      <alignment horizontal="right" vertical="center"/>
    </xf>
    <xf numFmtId="0" fontId="6" fillId="6" borderId="0" xfId="0" applyFont="1" applyFill="1" applyAlignment="1">
      <alignment horizontal="left" vertical="center"/>
    </xf>
    <xf numFmtId="164" fontId="7" fillId="6" borderId="0" xfId="0" applyNumberFormat="1" applyFont="1" applyFill="1" applyAlignment="1">
      <alignment horizontal="right" vertical="center"/>
    </xf>
    <xf numFmtId="0" fontId="6" fillId="7" borderId="0" xfId="0" applyFont="1" applyFill="1" applyAlignment="1">
      <alignment horizontal="left" vertical="center"/>
    </xf>
    <xf numFmtId="164" fontId="7" fillId="7" borderId="0" xfId="0" applyNumberFormat="1" applyFont="1" applyFill="1" applyAlignment="1">
      <alignment horizontal="right" vertical="center"/>
    </xf>
    <xf numFmtId="0" fontId="6" fillId="8" borderId="0" xfId="0" applyFont="1" applyFill="1" applyAlignment="1">
      <alignment horizontal="left" vertical="center"/>
    </xf>
    <xf numFmtId="164" fontId="7" fillId="8" borderId="0" xfId="0" applyNumberFormat="1" applyFont="1" applyFill="1" applyAlignment="1">
      <alignment horizontal="right" vertical="center"/>
    </xf>
    <xf numFmtId="165" fontId="6" fillId="5" borderId="0" xfId="0" applyNumberFormat="1" applyFont="1" applyFill="1" applyAlignment="1">
      <alignment horizontal="right" vertical="center"/>
    </xf>
    <xf numFmtId="165" fontId="6" fillId="7" borderId="0" xfId="0" applyNumberFormat="1" applyFont="1" applyFill="1" applyAlignment="1">
      <alignment horizontal="right" vertical="center"/>
    </xf>
    <xf numFmtId="165" fontId="6" fillId="8" borderId="0" xfId="0" applyNumberFormat="1" applyFont="1" applyFill="1" applyAlignment="1">
      <alignment horizontal="right" vertical="center"/>
    </xf>
    <xf numFmtId="0" fontId="6" fillId="4" borderId="0" xfId="0" applyFont="1" applyFill="1" applyAlignment="1">
      <alignment horizontal="left" vertical="center"/>
    </xf>
    <xf numFmtId="164" fontId="8" fillId="4" borderId="0" xfId="0" applyNumberFormat="1" applyFont="1" applyFill="1" applyAlignment="1">
      <alignment horizontal="right" vertical="center"/>
    </xf>
    <xf numFmtId="164" fontId="8" fillId="5" borderId="0" xfId="0" applyNumberFormat="1" applyFont="1" applyFill="1" applyAlignment="1">
      <alignment horizontal="right" vertical="center"/>
    </xf>
    <xf numFmtId="0" fontId="5" fillId="5" borderId="0" xfId="0" applyFont="1" applyFill="1"/>
    <xf numFmtId="164" fontId="8" fillId="6" borderId="0" xfId="0" applyNumberFormat="1" applyFont="1" applyFill="1" applyAlignment="1">
      <alignment horizontal="right" vertical="center"/>
    </xf>
    <xf numFmtId="164" fontId="6" fillId="5" borderId="0" xfId="0" applyNumberFormat="1" applyFont="1" applyFill="1" applyAlignment="1">
      <alignment horizontal="right" vertical="center"/>
    </xf>
    <xf numFmtId="164" fontId="9" fillId="4" borderId="0" xfId="0" applyNumberFormat="1" applyFont="1" applyFill="1" applyAlignment="1">
      <alignment horizontal="right" vertical="center"/>
    </xf>
    <xf numFmtId="164" fontId="8" fillId="8" borderId="0" xfId="0" applyNumberFormat="1" applyFont="1" applyFill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165" fontId="7" fillId="8" borderId="0" xfId="0" applyNumberFormat="1" applyFont="1" applyFill="1" applyAlignment="1">
      <alignment horizontal="right" vertical="center"/>
    </xf>
    <xf numFmtId="165" fontId="7" fillId="7" borderId="0" xfId="0" applyNumberFormat="1" applyFont="1" applyFill="1" applyAlignment="1">
      <alignment horizontal="right" vertical="center"/>
    </xf>
    <xf numFmtId="166" fontId="7" fillId="7" borderId="0" xfId="0" applyNumberFormat="1" applyFont="1" applyFill="1" applyAlignment="1">
      <alignment horizontal="right" vertical="center"/>
    </xf>
    <xf numFmtId="164" fontId="3" fillId="4" borderId="0" xfId="0" applyNumberFormat="1" applyFont="1" applyFill="1" applyAlignment="1">
      <alignment horizontal="right" vertical="center"/>
    </xf>
    <xf numFmtId="164" fontId="6" fillId="8" borderId="0" xfId="0" applyNumberFormat="1" applyFont="1" applyFill="1" applyAlignment="1">
      <alignment horizontal="right" vertical="center"/>
    </xf>
    <xf numFmtId="166" fontId="6" fillId="8" borderId="0" xfId="0" applyNumberFormat="1" applyFont="1" applyFill="1" applyAlignment="1">
      <alignment horizontal="right" vertical="center"/>
    </xf>
    <xf numFmtId="167" fontId="7" fillId="7" borderId="0" xfId="0" applyNumberFormat="1" applyFont="1" applyFill="1" applyAlignment="1">
      <alignment horizontal="right" vertical="center"/>
    </xf>
    <xf numFmtId="167" fontId="6" fillId="8" borderId="0" xfId="0" applyNumberFormat="1" applyFont="1" applyFill="1" applyAlignment="1">
      <alignment horizontal="right" vertical="center"/>
    </xf>
    <xf numFmtId="165" fontId="11" fillId="4" borderId="0" xfId="0" applyNumberFormat="1" applyFont="1" applyFill="1" applyAlignment="1">
      <alignment horizontal="right" vertical="center"/>
    </xf>
    <xf numFmtId="164" fontId="6" fillId="7" borderId="0" xfId="0" applyNumberFormat="1" applyFont="1" applyFill="1" applyAlignment="1">
      <alignment horizontal="right" vertical="center"/>
    </xf>
    <xf numFmtId="165" fontId="8" fillId="8" borderId="0" xfId="0" applyNumberFormat="1" applyFont="1" applyFill="1" applyAlignment="1">
      <alignment horizontal="right" vertical="center"/>
    </xf>
    <xf numFmtId="168" fontId="6" fillId="8" borderId="0" xfId="0" applyNumberFormat="1" applyFont="1" applyFill="1" applyAlignment="1">
      <alignment horizontal="right" vertical="center"/>
    </xf>
    <xf numFmtId="164" fontId="8" fillId="7" borderId="0" xfId="0" applyNumberFormat="1" applyFont="1" applyFill="1" applyAlignment="1">
      <alignment horizontal="right" vertical="center"/>
    </xf>
    <xf numFmtId="164" fontId="11" fillId="4" borderId="0" xfId="0" applyNumberFormat="1" applyFont="1" applyFill="1" applyAlignment="1">
      <alignment horizontal="right" vertical="center"/>
    </xf>
    <xf numFmtId="169" fontId="6" fillId="7" borderId="0" xfId="0" applyNumberFormat="1" applyFont="1" applyFill="1" applyAlignment="1">
      <alignment horizontal="right" vertical="center"/>
    </xf>
    <xf numFmtId="3" fontId="7" fillId="7" borderId="0" xfId="0" applyNumberFormat="1" applyFont="1" applyFill="1" applyAlignment="1">
      <alignment horizontal="right" vertical="center"/>
    </xf>
    <xf numFmtId="3" fontId="7" fillId="8" borderId="0" xfId="0" applyNumberFormat="1" applyFont="1" applyFill="1" applyAlignment="1">
      <alignment horizontal="right" vertical="center"/>
    </xf>
    <xf numFmtId="169" fontId="6" fillId="8" borderId="0" xfId="0" applyNumberFormat="1" applyFont="1" applyFill="1" applyAlignment="1">
      <alignment horizontal="right" vertical="center"/>
    </xf>
    <xf numFmtId="3" fontId="7" fillId="6" borderId="0" xfId="0" applyNumberFormat="1" applyFont="1" applyFill="1" applyAlignment="1">
      <alignment horizontal="right" vertical="center"/>
    </xf>
    <xf numFmtId="169" fontId="6" fillId="6" borderId="0" xfId="0" applyNumberFormat="1" applyFont="1" applyFill="1" applyAlignment="1">
      <alignment horizontal="right" vertical="center"/>
    </xf>
    <xf numFmtId="169" fontId="3" fillId="4" borderId="0" xfId="0" applyNumberFormat="1" applyFont="1" applyFill="1" applyAlignment="1">
      <alignment horizontal="right" vertical="center"/>
    </xf>
    <xf numFmtId="169" fontId="6" fillId="5" borderId="0" xfId="0" applyNumberFormat="1" applyFont="1" applyFill="1" applyAlignment="1">
      <alignment horizontal="right" vertical="center"/>
    </xf>
    <xf numFmtId="3" fontId="6" fillId="5" borderId="0" xfId="0" applyNumberFormat="1" applyFont="1" applyFill="1" applyAlignment="1">
      <alignment horizontal="right" vertical="center"/>
    </xf>
    <xf numFmtId="169" fontId="6" fillId="4" borderId="0" xfId="0" applyNumberFormat="1" applyFont="1" applyFill="1" applyAlignment="1">
      <alignment horizontal="right" vertical="center"/>
    </xf>
    <xf numFmtId="3" fontId="3" fillId="4" borderId="0" xfId="0" applyNumberFormat="1" applyFont="1" applyFill="1" applyAlignment="1">
      <alignment horizontal="right" vertical="center"/>
    </xf>
    <xf numFmtId="3" fontId="6" fillId="6" borderId="0" xfId="0" applyNumberFormat="1" applyFont="1" applyFill="1" applyAlignment="1">
      <alignment horizontal="right" vertical="center"/>
    </xf>
    <xf numFmtId="169" fontId="7" fillId="6" borderId="0" xfId="0" applyNumberFormat="1" applyFont="1" applyFill="1" applyAlignment="1">
      <alignment horizontal="right" vertical="center"/>
    </xf>
    <xf numFmtId="166" fontId="7" fillId="8" borderId="0" xfId="0" applyNumberFormat="1" applyFont="1" applyFill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164" fontId="3" fillId="5" borderId="0" xfId="0" applyNumberFormat="1" applyFont="1" applyFill="1" applyAlignment="1">
      <alignment horizontal="right" vertical="center"/>
    </xf>
    <xf numFmtId="166" fontId="8" fillId="7" borderId="0" xfId="0" applyNumberFormat="1" applyFont="1" applyFill="1" applyAlignment="1">
      <alignment horizontal="right" vertical="center"/>
    </xf>
    <xf numFmtId="166" fontId="8" fillId="8" borderId="0" xfId="0" applyNumberFormat="1" applyFont="1" applyFill="1" applyAlignment="1">
      <alignment horizontal="right" vertical="center"/>
    </xf>
    <xf numFmtId="166" fontId="9" fillId="4" borderId="0" xfId="0" applyNumberFormat="1" applyFont="1" applyFill="1" applyAlignment="1">
      <alignment horizontal="right" vertical="center"/>
    </xf>
    <xf numFmtId="0" fontId="13" fillId="7" borderId="0" xfId="0" applyFont="1" applyFill="1"/>
    <xf numFmtId="0" fontId="13" fillId="8" borderId="0" xfId="0" applyFont="1" applyFill="1"/>
    <xf numFmtId="0" fontId="13" fillId="4" borderId="0" xfId="0" applyFont="1" applyFill="1"/>
    <xf numFmtId="0" fontId="13" fillId="5" borderId="0" xfId="0" applyFont="1" applyFill="1"/>
    <xf numFmtId="0" fontId="14" fillId="0" borderId="0" xfId="0" applyFont="1"/>
    <xf numFmtId="0" fontId="14" fillId="3" borderId="1" xfId="0" applyFont="1" applyFill="1" applyBorder="1"/>
    <xf numFmtId="0" fontId="13" fillId="7" borderId="0" xfId="0" applyFont="1" applyFill="1" applyAlignment="1">
      <alignment horizontal="left" vertical="center"/>
    </xf>
    <xf numFmtId="0" fontId="13" fillId="8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13" fillId="4" borderId="0" xfId="0" applyFont="1" applyFill="1" applyAlignment="1">
      <alignment horizontal="left" vertical="center" wrapText="1"/>
    </xf>
    <xf numFmtId="0" fontId="13" fillId="5" borderId="0" xfId="0" applyFont="1" applyFill="1" applyAlignment="1">
      <alignment horizontal="left" vertical="center" wrapText="1"/>
    </xf>
    <xf numFmtId="0" fontId="13" fillId="6" borderId="0" xfId="0" applyFont="1" applyFill="1" applyAlignment="1">
      <alignment horizontal="left" vertical="center" wrapText="1"/>
    </xf>
    <xf numFmtId="0" fontId="13" fillId="7" borderId="0" xfId="0" applyFont="1" applyFill="1" applyAlignment="1">
      <alignment horizontal="left" vertical="center" wrapText="1"/>
    </xf>
    <xf numFmtId="0" fontId="13" fillId="8" borderId="0" xfId="0" applyFont="1" applyFill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5" fillId="0" borderId="0" xfId="0" applyFont="1"/>
    <xf numFmtId="0" fontId="13" fillId="6" borderId="0" xfId="0" applyFont="1" applyFill="1"/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" fontId="7" fillId="7" borderId="0" xfId="0" applyNumberFormat="1" applyFont="1" applyFill="1" applyAlignment="1">
      <alignment horizontal="right" vertical="center"/>
    </xf>
    <xf numFmtId="1" fontId="7" fillId="8" borderId="0" xfId="0" applyNumberFormat="1" applyFont="1" applyFill="1" applyAlignment="1">
      <alignment horizontal="right" vertical="center"/>
    </xf>
    <xf numFmtId="1" fontId="7" fillId="6" borderId="0" xfId="0" applyNumberFormat="1" applyFont="1" applyFill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  <xf numFmtId="0" fontId="0" fillId="11" borderId="0" xfId="0" applyFill="1"/>
    <xf numFmtId="0" fontId="17" fillId="0" borderId="0" xfId="0" applyFont="1"/>
    <xf numFmtId="0" fontId="18" fillId="5" borderId="1" xfId="0" applyFont="1" applyFill="1" applyBorder="1"/>
    <xf numFmtId="0" fontId="19" fillId="8" borderId="1" xfId="0" applyFont="1" applyFill="1" applyBorder="1"/>
    <xf numFmtId="0" fontId="20" fillId="5" borderId="1" xfId="0" applyFont="1" applyFill="1" applyBorder="1"/>
    <xf numFmtId="0" fontId="21" fillId="5" borderId="1" xfId="0" applyFont="1" applyFill="1" applyBorder="1"/>
    <xf numFmtId="0" fontId="25" fillId="5" borderId="1" xfId="0" applyFont="1" applyFill="1" applyBorder="1" applyAlignment="1">
      <alignment horizontal="left" vertical="center"/>
    </xf>
    <xf numFmtId="0" fontId="19" fillId="8" borderId="1" xfId="0" applyFont="1" applyFill="1" applyBorder="1" applyAlignment="1">
      <alignment horizontal="left" vertical="center"/>
    </xf>
    <xf numFmtId="0" fontId="19" fillId="5" borderId="1" xfId="0" applyFont="1" applyFill="1" applyBorder="1"/>
    <xf numFmtId="164" fontId="8" fillId="0" borderId="0" xfId="0" applyNumberFormat="1" applyFont="1" applyAlignment="1">
      <alignment horizontal="right" vertical="center"/>
    </xf>
    <xf numFmtId="0" fontId="13" fillId="0" borderId="0" xfId="0" applyFont="1"/>
    <xf numFmtId="0" fontId="2" fillId="2" borderId="4" xfId="0" applyFont="1" applyFill="1" applyBorder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left" vertical="center"/>
    </xf>
    <xf numFmtId="9" fontId="28" fillId="8" borderId="4" xfId="1" applyFont="1" applyFill="1" applyBorder="1" applyAlignment="1">
      <alignment horizontal="right" vertical="center"/>
    </xf>
    <xf numFmtId="0" fontId="6" fillId="7" borderId="4" xfId="0" applyFont="1" applyFill="1" applyBorder="1" applyAlignment="1">
      <alignment horizontal="left" vertical="center"/>
    </xf>
    <xf numFmtId="9" fontId="28" fillId="7" borderId="4" xfId="1" applyFont="1" applyFill="1" applyBorder="1" applyAlignment="1">
      <alignment horizontal="right" vertical="center"/>
    </xf>
    <xf numFmtId="9" fontId="28" fillId="8" borderId="0" xfId="1" applyFont="1" applyFill="1" applyBorder="1" applyAlignment="1">
      <alignment horizontal="right" vertical="center"/>
    </xf>
    <xf numFmtId="0" fontId="29" fillId="0" borderId="0" xfId="0" applyFont="1"/>
    <xf numFmtId="170" fontId="0" fillId="0" borderId="0" xfId="0" applyNumberFormat="1"/>
    <xf numFmtId="0" fontId="26" fillId="12" borderId="1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22" fillId="2" borderId="0" xfId="0" applyFont="1" applyFill="1" applyAlignment="1">
      <alignment horizontal="center" vertical="center"/>
    </xf>
    <xf numFmtId="0" fontId="23" fillId="4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0" fillId="5" borderId="3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6" fillId="10" borderId="3" xfId="0" applyNumberFormat="1" applyFont="1" applyFill="1" applyBorder="1" applyAlignment="1">
      <alignment horizontal="center" vertical="center"/>
    </xf>
    <xf numFmtId="3" fontId="16" fillId="10" borderId="0" xfId="0" applyNumberFormat="1" applyFont="1" applyFill="1" applyAlignment="1">
      <alignment horizontal="center" vertical="center"/>
    </xf>
    <xf numFmtId="0" fontId="12" fillId="7" borderId="1" xfId="0" applyFont="1" applyFill="1" applyBorder="1" applyAlignment="1">
      <alignment horizontal="left" vertical="center" wrapText="1"/>
    </xf>
    <xf numFmtId="0" fontId="12" fillId="7" borderId="3" xfId="0" applyFont="1" applyFill="1" applyBorder="1" applyAlignment="1">
      <alignment horizontal="left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EEF4FB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4D7B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E4D7B"/>
      <color rgb="FF1F3864"/>
      <color rgb="FF2E4D99"/>
      <color rgb="FF008000"/>
      <color rgb="FF0029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B0DDA-265E-49B1-AED0-8676F7C4E3A8}">
  <sheetPr codeName="Sheet1">
    <tabColor theme="3" tint="-0.249977111117893"/>
  </sheetPr>
  <dimension ref="B1:C38"/>
  <sheetViews>
    <sheetView showGridLines="0" zoomScaleNormal="100" workbookViewId="0">
      <selection activeCell="C31" sqref="C31"/>
    </sheetView>
  </sheetViews>
  <sheetFormatPr defaultColWidth="8.7109375" defaultRowHeight="15" x14ac:dyDescent="0.25"/>
  <cols>
    <col min="1" max="1" width="5" customWidth="1"/>
    <col min="2" max="2" width="60" customWidth="1"/>
    <col min="3" max="3" width="44.140625" bestFit="1" customWidth="1"/>
  </cols>
  <sheetData>
    <row r="1" spans="2:3" ht="18" customHeight="1" x14ac:dyDescent="0.25"/>
    <row r="2" spans="2:3" ht="18" customHeight="1" x14ac:dyDescent="0.25">
      <c r="B2" s="106" t="s">
        <v>234</v>
      </c>
      <c r="C2" s="106"/>
    </row>
    <row r="3" spans="2:3" ht="18" customHeight="1" x14ac:dyDescent="0.25"/>
    <row r="4" spans="2:3" ht="18" customHeight="1" x14ac:dyDescent="0.25">
      <c r="B4" s="107" t="s">
        <v>199</v>
      </c>
      <c r="C4" s="107"/>
    </row>
    <row r="5" spans="2:3" ht="18" customHeight="1" x14ac:dyDescent="0.25"/>
    <row r="6" spans="2:3" ht="18" customHeight="1" x14ac:dyDescent="0.25">
      <c r="B6" s="108" t="s">
        <v>235</v>
      </c>
      <c r="C6" s="108"/>
    </row>
    <row r="7" spans="2:3" ht="18" customHeight="1" x14ac:dyDescent="0.25"/>
    <row r="8" spans="2:3" ht="18" customHeight="1" x14ac:dyDescent="0.25"/>
    <row r="9" spans="2:3" ht="18" customHeight="1" x14ac:dyDescent="0.25">
      <c r="B9" s="89" t="s">
        <v>200</v>
      </c>
      <c r="C9" s="90" t="s">
        <v>201</v>
      </c>
    </row>
    <row r="10" spans="2:3" ht="18" customHeight="1" x14ac:dyDescent="0.25"/>
    <row r="11" spans="2:3" ht="18" customHeight="1" x14ac:dyDescent="0.25">
      <c r="B11" s="89" t="s">
        <v>202</v>
      </c>
      <c r="C11" s="90" t="s">
        <v>203</v>
      </c>
    </row>
    <row r="12" spans="2:3" ht="18" customHeight="1" x14ac:dyDescent="0.25"/>
    <row r="13" spans="2:3" ht="18" customHeight="1" x14ac:dyDescent="0.25">
      <c r="B13" s="89" t="s">
        <v>204</v>
      </c>
      <c r="C13" s="90" t="s">
        <v>205</v>
      </c>
    </row>
    <row r="14" spans="2:3" ht="18" customHeight="1" x14ac:dyDescent="0.25"/>
    <row r="15" spans="2:3" ht="18" customHeight="1" x14ac:dyDescent="0.25">
      <c r="B15" s="89" t="s">
        <v>206</v>
      </c>
      <c r="C15" s="90" t="s">
        <v>207</v>
      </c>
    </row>
    <row r="16" spans="2:3" ht="18" customHeight="1" x14ac:dyDescent="0.25"/>
    <row r="17" spans="2:3" ht="18" customHeight="1" x14ac:dyDescent="0.25">
      <c r="B17" s="89" t="s">
        <v>208</v>
      </c>
      <c r="C17" s="90" t="s">
        <v>209</v>
      </c>
    </row>
    <row r="18" spans="2:3" ht="18" customHeight="1" x14ac:dyDescent="0.25"/>
    <row r="19" spans="2:3" ht="18" customHeight="1" x14ac:dyDescent="0.25">
      <c r="B19" s="89" t="s">
        <v>210</v>
      </c>
      <c r="C19" s="90" t="s">
        <v>211</v>
      </c>
    </row>
    <row r="20" spans="2:3" ht="18" customHeight="1" x14ac:dyDescent="0.25"/>
    <row r="21" spans="2:3" ht="18" customHeight="1" x14ac:dyDescent="0.25"/>
    <row r="22" spans="2:3" ht="18" customHeight="1" x14ac:dyDescent="0.25"/>
    <row r="23" spans="2:3" ht="18" customHeight="1" x14ac:dyDescent="0.25">
      <c r="B23" s="84" t="s">
        <v>212</v>
      </c>
    </row>
    <row r="24" spans="2:3" ht="18" customHeight="1" x14ac:dyDescent="0.25">
      <c r="B24" s="103" t="s">
        <v>213</v>
      </c>
      <c r="C24" s="91" t="s">
        <v>214</v>
      </c>
    </row>
    <row r="25" spans="2:3" ht="18" customHeight="1" x14ac:dyDescent="0.25">
      <c r="B25" s="103" t="s">
        <v>215</v>
      </c>
      <c r="C25" s="91" t="s">
        <v>216</v>
      </c>
    </row>
    <row r="26" spans="2:3" ht="18" customHeight="1" x14ac:dyDescent="0.25">
      <c r="B26" s="103" t="s">
        <v>217</v>
      </c>
      <c r="C26" s="91" t="s">
        <v>218</v>
      </c>
    </row>
    <row r="27" spans="2:3" ht="18" customHeight="1" x14ac:dyDescent="0.25">
      <c r="B27" s="103" t="s">
        <v>219</v>
      </c>
      <c r="C27" s="91" t="s">
        <v>220</v>
      </c>
    </row>
    <row r="28" spans="2:3" ht="18" customHeight="1" x14ac:dyDescent="0.25">
      <c r="B28" s="103" t="s">
        <v>221</v>
      </c>
      <c r="C28" s="91" t="s">
        <v>222</v>
      </c>
    </row>
    <row r="29" spans="2:3" ht="18" customHeight="1" x14ac:dyDescent="0.25">
      <c r="B29" s="103" t="s">
        <v>223</v>
      </c>
      <c r="C29" s="91" t="s">
        <v>224</v>
      </c>
    </row>
    <row r="30" spans="2:3" ht="18" customHeight="1" x14ac:dyDescent="0.25"/>
    <row r="31" spans="2:3" ht="18" customHeight="1" x14ac:dyDescent="0.25"/>
    <row r="32" spans="2:3" ht="18" customHeight="1" x14ac:dyDescent="0.25">
      <c r="B32" s="84" t="s">
        <v>192</v>
      </c>
    </row>
    <row r="33" spans="2:3" ht="18" customHeight="1" x14ac:dyDescent="0.25">
      <c r="B33" s="85" t="s">
        <v>193</v>
      </c>
      <c r="C33" s="86" t="s">
        <v>194</v>
      </c>
    </row>
    <row r="34" spans="2:3" ht="18" customHeight="1" x14ac:dyDescent="0.25">
      <c r="B34" s="87" t="s">
        <v>195</v>
      </c>
      <c r="C34" s="86" t="s">
        <v>196</v>
      </c>
    </row>
    <row r="35" spans="2:3" ht="18" customHeight="1" x14ac:dyDescent="0.25">
      <c r="B35" s="88" t="s">
        <v>197</v>
      </c>
      <c r="C35" s="86" t="s">
        <v>198</v>
      </c>
    </row>
    <row r="36" spans="2:3" ht="18" customHeight="1" x14ac:dyDescent="0.25"/>
    <row r="37" spans="2:3" ht="18" customHeight="1" x14ac:dyDescent="0.25"/>
    <row r="38" spans="2:3" ht="18" customHeight="1" x14ac:dyDescent="0.25"/>
  </sheetData>
  <mergeCells count="3">
    <mergeCell ref="B2:C2"/>
    <mergeCell ref="B4:C4"/>
    <mergeCell ref="B6:C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2997"/>
  </sheetPr>
  <dimension ref="B1:F36"/>
  <sheetViews>
    <sheetView showGridLines="0" zoomScaleNormal="100" workbookViewId="0">
      <pane xSplit="1" ySplit="3" topLeftCell="B4" activePane="bottomRight" state="frozen"/>
      <selection activeCell="E9" sqref="E9"/>
      <selection pane="topRight" activeCell="E9" sqref="E9"/>
      <selection pane="bottomLeft" activeCell="E9" sqref="E9"/>
      <selection pane="bottomRight" activeCell="B3" sqref="B3"/>
    </sheetView>
  </sheetViews>
  <sheetFormatPr defaultColWidth="8.7109375" defaultRowHeight="15" x14ac:dyDescent="0.25"/>
  <cols>
    <col min="1" max="1" width="3" customWidth="1"/>
    <col min="2" max="2" width="42" customWidth="1"/>
    <col min="3" max="5" width="16" customWidth="1"/>
    <col min="6" max="6" width="42.7109375" bestFit="1" customWidth="1"/>
  </cols>
  <sheetData>
    <row r="1" spans="2:6" ht="9.9499999999999993" customHeight="1" x14ac:dyDescent="0.25"/>
    <row r="2" spans="2:6" ht="15" customHeight="1" x14ac:dyDescent="0.25">
      <c r="B2" s="104" t="s">
        <v>236</v>
      </c>
      <c r="C2" s="104"/>
      <c r="D2" s="104"/>
      <c r="E2" s="104"/>
      <c r="F2" s="104"/>
    </row>
    <row r="3" spans="2:6" ht="15" customHeight="1" x14ac:dyDescent="0.25">
      <c r="B3" s="82" t="s">
        <v>0</v>
      </c>
      <c r="C3" s="1">
        <v>2022</v>
      </c>
      <c r="D3" s="1">
        <v>2023</v>
      </c>
      <c r="E3" s="1">
        <v>2024</v>
      </c>
      <c r="F3" s="1" t="s">
        <v>1</v>
      </c>
    </row>
    <row r="4" spans="2:6" ht="15" customHeight="1" x14ac:dyDescent="0.25">
      <c r="B4" s="2" t="s">
        <v>2</v>
      </c>
      <c r="C4" s="3"/>
      <c r="D4" s="3"/>
      <c r="E4" s="3"/>
      <c r="F4" s="3"/>
    </row>
    <row r="5" spans="2:6" ht="21.75" customHeight="1" x14ac:dyDescent="0.25">
      <c r="B5" s="4" t="s">
        <v>3</v>
      </c>
      <c r="C5" s="5">
        <v>11378.3</v>
      </c>
      <c r="D5" s="5">
        <v>11144.9</v>
      </c>
      <c r="E5" s="5">
        <v>10368.4</v>
      </c>
      <c r="F5" s="68" t="s">
        <v>237</v>
      </c>
    </row>
    <row r="6" spans="2:6" ht="15" customHeight="1" x14ac:dyDescent="0.25">
      <c r="B6" s="6" t="s">
        <v>239</v>
      </c>
      <c r="C6" s="7">
        <v>2681</v>
      </c>
      <c r="D6" s="7">
        <v>2608.9</v>
      </c>
      <c r="E6" s="7">
        <v>2699.9</v>
      </c>
      <c r="F6" s="69"/>
    </row>
    <row r="7" spans="2:6" ht="15" customHeight="1" x14ac:dyDescent="0.25">
      <c r="B7" s="6" t="s">
        <v>240</v>
      </c>
      <c r="C7" s="7">
        <v>3813.8</v>
      </c>
      <c r="D7" s="7">
        <v>3765.5</v>
      </c>
      <c r="E7" s="7">
        <v>3603.1</v>
      </c>
      <c r="F7" s="69"/>
    </row>
    <row r="8" spans="2:6" ht="15" customHeight="1" x14ac:dyDescent="0.25">
      <c r="B8" s="6" t="s">
        <v>4</v>
      </c>
      <c r="C8" s="7">
        <v>3444.4</v>
      </c>
      <c r="D8" s="7">
        <v>3425</v>
      </c>
      <c r="E8" s="7">
        <v>2976.1</v>
      </c>
      <c r="F8" s="69"/>
    </row>
    <row r="9" spans="2:6" ht="15" customHeight="1" x14ac:dyDescent="0.25">
      <c r="B9" s="6" t="s">
        <v>5</v>
      </c>
      <c r="C9" s="7">
        <v>997.6</v>
      </c>
      <c r="D9" s="7">
        <v>996.8</v>
      </c>
      <c r="E9" s="7">
        <v>904</v>
      </c>
      <c r="F9" s="69"/>
    </row>
    <row r="10" spans="2:6" ht="21.75" customHeight="1" x14ac:dyDescent="0.25">
      <c r="B10" s="8" t="s">
        <v>6</v>
      </c>
      <c r="C10" s="9">
        <v>441.5</v>
      </c>
      <c r="D10" s="9">
        <v>348.6</v>
      </c>
      <c r="E10" s="9">
        <v>185.4</v>
      </c>
      <c r="F10" s="70" t="s">
        <v>7</v>
      </c>
    </row>
    <row r="11" spans="2:6" ht="15" customHeight="1" x14ac:dyDescent="0.25">
      <c r="B11" s="10" t="s">
        <v>8</v>
      </c>
      <c r="C11" s="11">
        <v>-3427.4</v>
      </c>
      <c r="D11" s="11">
        <v>-3135.9</v>
      </c>
      <c r="E11" s="11">
        <v>-2642.1</v>
      </c>
      <c r="F11" s="71"/>
    </row>
    <row r="12" spans="2:6" ht="15" customHeight="1" x14ac:dyDescent="0.25">
      <c r="B12" s="12" t="s">
        <v>9</v>
      </c>
      <c r="C12" s="13">
        <v>-1850.7</v>
      </c>
      <c r="D12" s="13">
        <v>-1889</v>
      </c>
      <c r="E12" s="13">
        <v>-1892.1</v>
      </c>
      <c r="F12" s="72"/>
    </row>
    <row r="13" spans="2:6" ht="15" customHeight="1" x14ac:dyDescent="0.25">
      <c r="B13" s="10" t="s">
        <v>10</v>
      </c>
      <c r="C13" s="11">
        <v>-1096.9000000000001</v>
      </c>
      <c r="D13" s="11">
        <v>-1168.5</v>
      </c>
      <c r="E13" s="11">
        <v>-1174.0999999999999</v>
      </c>
      <c r="F13" s="71"/>
    </row>
    <row r="14" spans="2:6" ht="21.75" customHeight="1" x14ac:dyDescent="0.25">
      <c r="B14" s="8" t="s">
        <v>241</v>
      </c>
      <c r="C14" s="9">
        <v>-1052.8</v>
      </c>
      <c r="D14" s="9">
        <v>-1136.0999999999999</v>
      </c>
      <c r="E14" s="9">
        <v>-1231.0999999999999</v>
      </c>
      <c r="F14" s="70" t="s">
        <v>11</v>
      </c>
    </row>
    <row r="15" spans="2:6" ht="21.75" customHeight="1" x14ac:dyDescent="0.25">
      <c r="B15" s="4" t="s">
        <v>12</v>
      </c>
      <c r="C15" s="5">
        <v>3950.2</v>
      </c>
      <c r="D15" s="5">
        <v>3815.3</v>
      </c>
      <c r="E15" s="5">
        <v>3429</v>
      </c>
      <c r="F15" s="68" t="s">
        <v>238</v>
      </c>
    </row>
    <row r="16" spans="2:6" ht="15" customHeight="1" x14ac:dyDescent="0.25">
      <c r="B16" s="6" t="s">
        <v>13</v>
      </c>
      <c r="C16" s="14">
        <f>C15/C5</f>
        <v>0.34716961233224647</v>
      </c>
      <c r="D16" s="14">
        <f>D15/D5</f>
        <v>0.34233595635671926</v>
      </c>
      <c r="E16" s="14">
        <f>E15/E5</f>
        <v>0.33071640754600518</v>
      </c>
      <c r="F16" s="65" t="s">
        <v>14</v>
      </c>
    </row>
    <row r="17" spans="2:6" ht="21.75" customHeight="1" x14ac:dyDescent="0.25">
      <c r="B17" s="10" t="s">
        <v>15</v>
      </c>
      <c r="C17" s="11">
        <v>-3384.7</v>
      </c>
      <c r="D17" s="11">
        <v>-3307.7</v>
      </c>
      <c r="E17" s="11">
        <v>-3069.3</v>
      </c>
      <c r="F17" s="71" t="s">
        <v>16</v>
      </c>
    </row>
    <row r="18" spans="2:6" ht="21.75" customHeight="1" x14ac:dyDescent="0.25">
      <c r="B18" s="8" t="s">
        <v>17</v>
      </c>
      <c r="C18" s="9">
        <v>-199.6</v>
      </c>
      <c r="D18" s="9">
        <v>-149.5</v>
      </c>
      <c r="E18" s="9">
        <v>2777.4</v>
      </c>
      <c r="F18" s="70" t="s">
        <v>18</v>
      </c>
    </row>
    <row r="19" spans="2:6" ht="21.75" customHeight="1" x14ac:dyDescent="0.25">
      <c r="B19" s="4" t="s">
        <v>19</v>
      </c>
      <c r="C19" s="5">
        <v>1419.1</v>
      </c>
      <c r="D19" s="5">
        <v>1494.2</v>
      </c>
      <c r="E19" s="5">
        <v>4368.1000000000004</v>
      </c>
      <c r="F19" s="68" t="s">
        <v>243</v>
      </c>
    </row>
    <row r="20" spans="2:6" ht="21.75" customHeight="1" x14ac:dyDescent="0.25">
      <c r="B20" s="8" t="s">
        <v>191</v>
      </c>
      <c r="C20" s="9">
        <v>-88</v>
      </c>
      <c r="D20" s="9">
        <v>-2309.4</v>
      </c>
      <c r="E20" s="9">
        <v>-1855.7</v>
      </c>
      <c r="F20" s="70" t="s">
        <v>20</v>
      </c>
    </row>
    <row r="21" spans="2:6" ht="15" customHeight="1" x14ac:dyDescent="0.25">
      <c r="B21" s="10" t="s">
        <v>21</v>
      </c>
      <c r="C21" s="11">
        <v>-135.9</v>
      </c>
      <c r="D21" s="11">
        <v>-158.80000000000001</v>
      </c>
      <c r="E21" s="11">
        <v>-54.1</v>
      </c>
      <c r="F21" s="71"/>
    </row>
    <row r="22" spans="2:6" ht="15" customHeight="1" x14ac:dyDescent="0.25">
      <c r="B22" s="12" t="s">
        <v>22</v>
      </c>
      <c r="C22" s="13">
        <v>-352.9</v>
      </c>
      <c r="D22" s="13">
        <v>-129.30000000000001</v>
      </c>
      <c r="E22" s="13">
        <v>-483.8</v>
      </c>
      <c r="F22" s="72"/>
    </row>
    <row r="23" spans="2:6" ht="21.75" customHeight="1" x14ac:dyDescent="0.25">
      <c r="B23" s="4" t="s">
        <v>23</v>
      </c>
      <c r="C23" s="5">
        <v>842.3</v>
      </c>
      <c r="D23" s="5">
        <v>-1103.3</v>
      </c>
      <c r="E23" s="5">
        <v>1974.5</v>
      </c>
      <c r="F23" s="68" t="s">
        <v>24</v>
      </c>
    </row>
    <row r="24" spans="2:6" x14ac:dyDescent="0.25">
      <c r="F24" s="63"/>
    </row>
    <row r="25" spans="2:6" ht="15" customHeight="1" x14ac:dyDescent="0.25">
      <c r="B25" s="2" t="s">
        <v>25</v>
      </c>
      <c r="C25" s="3"/>
      <c r="D25" s="3"/>
      <c r="E25" s="3"/>
      <c r="F25" s="64"/>
    </row>
    <row r="26" spans="2:6" ht="15" customHeight="1" x14ac:dyDescent="0.25">
      <c r="B26" s="12" t="s">
        <v>26</v>
      </c>
      <c r="C26" s="13">
        <v>2399</v>
      </c>
      <c r="D26" s="13">
        <v>2325.6</v>
      </c>
      <c r="E26" s="13">
        <v>2095.1</v>
      </c>
      <c r="F26" s="60" t="s">
        <v>244</v>
      </c>
    </row>
    <row r="27" spans="2:6" ht="15" customHeight="1" x14ac:dyDescent="0.25">
      <c r="B27" s="10" t="s">
        <v>27</v>
      </c>
      <c r="C27" s="15">
        <f>C26/C5</f>
        <v>0.21083993215155164</v>
      </c>
      <c r="D27" s="15">
        <f>D26/D5</f>
        <v>0.20866943624438083</v>
      </c>
      <c r="E27" s="15">
        <f>E26/E5</f>
        <v>0.20206589251957871</v>
      </c>
      <c r="F27" s="66" t="s">
        <v>28</v>
      </c>
    </row>
    <row r="28" spans="2:6" ht="15" customHeight="1" x14ac:dyDescent="0.25">
      <c r="B28" s="12" t="s">
        <v>242</v>
      </c>
      <c r="C28" s="13">
        <v>1551.3</v>
      </c>
      <c r="D28" s="13">
        <v>1489.7</v>
      </c>
      <c r="E28" s="13">
        <v>1333.9</v>
      </c>
      <c r="F28" s="60" t="s">
        <v>29</v>
      </c>
    </row>
    <row r="29" spans="2:6" ht="15" customHeight="1" x14ac:dyDescent="0.25">
      <c r="B29" s="10" t="s">
        <v>30</v>
      </c>
      <c r="C29" s="11">
        <v>-131.80000000000001</v>
      </c>
      <c r="D29" s="11">
        <v>-335</v>
      </c>
      <c r="E29" s="11">
        <v>367.7</v>
      </c>
      <c r="F29" s="59" t="s">
        <v>31</v>
      </c>
    </row>
    <row r="30" spans="2:6" ht="15" customHeight="1" x14ac:dyDescent="0.25">
      <c r="B30" s="12" t="s">
        <v>32</v>
      </c>
      <c r="C30" s="16">
        <f>-C29/C5</f>
        <v>1.1583452712619638E-2</v>
      </c>
      <c r="D30" s="16">
        <f>-D29/D5</f>
        <v>3.0058591822268482E-2</v>
      </c>
      <c r="E30" s="16">
        <f>-E29/E5</f>
        <v>-3.5463523783804636E-2</v>
      </c>
      <c r="F30" s="60" t="s">
        <v>245</v>
      </c>
    </row>
    <row r="31" spans="2:6" ht="15" customHeight="1" x14ac:dyDescent="0.25">
      <c r="B31" s="10" t="s">
        <v>33</v>
      </c>
      <c r="C31" s="11">
        <v>368.4</v>
      </c>
      <c r="D31" s="11">
        <v>451.1</v>
      </c>
      <c r="E31" s="11">
        <v>2867.1</v>
      </c>
      <c r="F31" s="59" t="s">
        <v>34</v>
      </c>
    </row>
    <row r="32" spans="2:6" ht="15" customHeight="1" x14ac:dyDescent="0.25">
      <c r="B32" s="12" t="s">
        <v>35</v>
      </c>
      <c r="C32" s="13">
        <v>18958.400000000001</v>
      </c>
      <c r="D32" s="13">
        <v>20052.2</v>
      </c>
      <c r="E32" s="13">
        <v>19821.900000000001</v>
      </c>
      <c r="F32" s="60" t="s">
        <v>246</v>
      </c>
    </row>
    <row r="33" spans="2:5" x14ac:dyDescent="0.25">
      <c r="C33" t="s">
        <v>190</v>
      </c>
    </row>
    <row r="34" spans="2:5" ht="186" customHeight="1" x14ac:dyDescent="0.25">
      <c r="B34" s="105" t="s">
        <v>247</v>
      </c>
      <c r="C34" s="105"/>
      <c r="D34" s="105"/>
      <c r="E34" s="105"/>
    </row>
    <row r="35" spans="2:5" x14ac:dyDescent="0.25">
      <c r="B35" s="74"/>
    </row>
    <row r="36" spans="2:5" ht="34.5" customHeight="1" x14ac:dyDescent="0.25">
      <c r="B36" s="105" t="s">
        <v>248</v>
      </c>
      <c r="C36" s="105"/>
      <c r="D36" s="105"/>
      <c r="E36" s="105"/>
    </row>
  </sheetData>
  <mergeCells count="3">
    <mergeCell ref="B2:F2"/>
    <mergeCell ref="B34:E34"/>
    <mergeCell ref="B36:E3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3" tint="0.79998168889431442"/>
  </sheetPr>
  <dimension ref="B1:G30"/>
  <sheetViews>
    <sheetView showGridLines="0" zoomScaleNormal="100" workbookViewId="0">
      <pane ySplit="3" topLeftCell="A23" activePane="bottomLeft" state="frozen"/>
      <selection activeCell="C28" sqref="C28"/>
      <selection pane="bottomLeft" activeCell="B29" sqref="B29:F29"/>
    </sheetView>
  </sheetViews>
  <sheetFormatPr defaultColWidth="8.7109375" defaultRowHeight="15" x14ac:dyDescent="0.25"/>
  <cols>
    <col min="1" max="1" width="3" customWidth="1"/>
    <col min="2" max="2" width="40.85546875" customWidth="1"/>
    <col min="3" max="5" width="16" customWidth="1"/>
    <col min="6" max="6" width="33.85546875" bestFit="1" customWidth="1"/>
  </cols>
  <sheetData>
    <row r="1" spans="2:7" ht="9.9499999999999993" customHeight="1" x14ac:dyDescent="0.25"/>
    <row r="2" spans="2:7" ht="15" customHeight="1" x14ac:dyDescent="0.25">
      <c r="B2" s="104" t="s">
        <v>249</v>
      </c>
      <c r="C2" s="104"/>
      <c r="D2" s="104"/>
      <c r="E2" s="104"/>
      <c r="F2" s="104"/>
    </row>
    <row r="3" spans="2:7" ht="15" customHeight="1" x14ac:dyDescent="0.25">
      <c r="B3" s="1" t="s">
        <v>36</v>
      </c>
      <c r="C3" s="1">
        <v>2022</v>
      </c>
      <c r="D3" s="1">
        <v>2023</v>
      </c>
      <c r="E3" s="1">
        <v>2024</v>
      </c>
      <c r="F3" s="1" t="s">
        <v>37</v>
      </c>
    </row>
    <row r="4" spans="2:7" ht="15" customHeight="1" x14ac:dyDescent="0.25">
      <c r="B4" s="2" t="s">
        <v>38</v>
      </c>
      <c r="C4" s="3"/>
      <c r="D4" s="3"/>
      <c r="E4" s="3"/>
      <c r="F4" s="3"/>
    </row>
    <row r="5" spans="2:7" ht="15" customHeight="1" x14ac:dyDescent="0.25">
      <c r="B5" s="17" t="s">
        <v>3</v>
      </c>
      <c r="C5" s="18">
        <f>'A. Sources comptables'!C5</f>
        <v>11378.3</v>
      </c>
      <c r="D5" s="18">
        <f>'A. Sources comptables'!D5</f>
        <v>11144.9</v>
      </c>
      <c r="E5" s="18">
        <f>'A. Sources comptables'!E5</f>
        <v>10368.4</v>
      </c>
      <c r="F5" s="61" t="s">
        <v>39</v>
      </c>
    </row>
    <row r="6" spans="2:7" ht="15" customHeight="1" x14ac:dyDescent="0.25">
      <c r="B6" s="6" t="s">
        <v>40</v>
      </c>
      <c r="C6" s="19">
        <f>'A. Sources comptables'!C6+'A. Sources comptables'!C7</f>
        <v>6494.8</v>
      </c>
      <c r="D6" s="19">
        <f>'A. Sources comptables'!D6+'A. Sources comptables'!D7</f>
        <v>6374.4</v>
      </c>
      <c r="E6" s="19">
        <f>'A. Sources comptables'!E6+'A. Sources comptables'!E7</f>
        <v>6303</v>
      </c>
      <c r="F6" s="62"/>
    </row>
    <row r="7" spans="2:7" ht="15" customHeight="1" x14ac:dyDescent="0.25">
      <c r="B7" s="6" t="s">
        <v>41</v>
      </c>
      <c r="C7" s="19">
        <f>'A. Sources comptables'!C8</f>
        <v>3444.4</v>
      </c>
      <c r="D7" s="19">
        <f>'A. Sources comptables'!D8</f>
        <v>3425</v>
      </c>
      <c r="E7" s="19">
        <f>'A. Sources comptables'!E8</f>
        <v>2976.1</v>
      </c>
      <c r="F7" s="62"/>
    </row>
    <row r="8" spans="2:7" ht="15" customHeight="1" x14ac:dyDescent="0.25">
      <c r="B8" s="6" t="s">
        <v>42</v>
      </c>
      <c r="C8" s="19">
        <f>'A. Sources comptables'!C9</f>
        <v>997.6</v>
      </c>
      <c r="D8" s="19">
        <f>'A. Sources comptables'!D9</f>
        <v>996.8</v>
      </c>
      <c r="E8" s="19">
        <f>'A. Sources comptables'!E9</f>
        <v>904</v>
      </c>
      <c r="F8" s="62"/>
    </row>
    <row r="9" spans="2:7" ht="15" customHeight="1" x14ac:dyDescent="0.25">
      <c r="B9" s="8" t="s">
        <v>43</v>
      </c>
      <c r="C9" s="21">
        <f>'A. Sources comptables'!C10</f>
        <v>441.5</v>
      </c>
      <c r="D9" s="21">
        <f>'A. Sources comptables'!D10</f>
        <v>348.6</v>
      </c>
      <c r="E9" s="21">
        <f>'A. Sources comptables'!E10</f>
        <v>185.4</v>
      </c>
      <c r="F9" s="75" t="s">
        <v>250</v>
      </c>
    </row>
    <row r="10" spans="2:7" ht="15" customHeight="1" x14ac:dyDescent="0.25">
      <c r="B10" s="6" t="s">
        <v>44</v>
      </c>
      <c r="C10" s="22"/>
      <c r="D10" s="14">
        <f>(D5-C5)/C5</f>
        <v>-2.0512730372727002E-2</v>
      </c>
      <c r="E10" s="14">
        <f>(E5-D5)/D5</f>
        <v>-6.9673124029825298E-2</v>
      </c>
      <c r="F10" s="62"/>
    </row>
    <row r="11" spans="2:7" ht="15" customHeight="1" x14ac:dyDescent="0.25">
      <c r="B11" s="4" t="s">
        <v>45</v>
      </c>
      <c r="C11" s="23">
        <f>'A. Sources comptables'!C15</f>
        <v>3950.2</v>
      </c>
      <c r="D11" s="23">
        <f>'A. Sources comptables'!D15</f>
        <v>3815.3</v>
      </c>
      <c r="E11" s="23">
        <f>'A. Sources comptables'!E15</f>
        <v>3429</v>
      </c>
      <c r="F11" s="61" t="s">
        <v>251</v>
      </c>
    </row>
    <row r="12" spans="2:7" ht="15" customHeight="1" x14ac:dyDescent="0.25">
      <c r="B12" s="6" t="s">
        <v>46</v>
      </c>
      <c r="C12" s="14">
        <f>C11/C5</f>
        <v>0.34716961233224647</v>
      </c>
      <c r="D12" s="14">
        <f>D11/D5</f>
        <v>0.34233595635671926</v>
      </c>
      <c r="E12" s="14">
        <f>E11/E5</f>
        <v>0.33071640754600518</v>
      </c>
      <c r="F12" s="62"/>
    </row>
    <row r="13" spans="2:7" ht="15" customHeight="1" x14ac:dyDescent="0.25">
      <c r="B13" s="12" t="s">
        <v>47</v>
      </c>
      <c r="C13" s="24">
        <f>'A. Sources comptables'!C17</f>
        <v>-3384.7</v>
      </c>
      <c r="D13" s="24">
        <f>'A. Sources comptables'!D17</f>
        <v>-3307.7</v>
      </c>
      <c r="E13" s="24">
        <f>'A. Sources comptables'!E17</f>
        <v>-3069.3</v>
      </c>
      <c r="F13" s="60" t="s">
        <v>48</v>
      </c>
    </row>
    <row r="14" spans="2:7" ht="15" customHeight="1" x14ac:dyDescent="0.25">
      <c r="B14" s="4" t="s">
        <v>49</v>
      </c>
      <c r="C14" s="23">
        <f>'A. Sources comptables'!C19</f>
        <v>1419.1</v>
      </c>
      <c r="D14" s="23">
        <f>'A. Sources comptables'!D19</f>
        <v>1494.2</v>
      </c>
      <c r="E14" s="23">
        <f>'A. Sources comptables'!E19</f>
        <v>4368.1000000000004</v>
      </c>
      <c r="F14" s="61" t="s">
        <v>50</v>
      </c>
    </row>
    <row r="15" spans="2:7" ht="15" customHeight="1" x14ac:dyDescent="0.25">
      <c r="B15" s="76" t="s">
        <v>51</v>
      </c>
      <c r="C15" s="92">
        <f>'A. Sources comptables'!C18</f>
        <v>-199.6</v>
      </c>
      <c r="D15" s="92">
        <f>'A. Sources comptables'!D18</f>
        <v>-149.5</v>
      </c>
      <c r="E15" s="92">
        <f>'A. Sources comptables'!E18</f>
        <v>2777.4</v>
      </c>
      <c r="F15" s="93" t="s">
        <v>52</v>
      </c>
      <c r="G15" s="101"/>
    </row>
    <row r="16" spans="2:7" ht="15" customHeight="1" x14ac:dyDescent="0.25">
      <c r="B16" s="8" t="s">
        <v>53</v>
      </c>
      <c r="C16" s="21">
        <f>'A. Sources comptables'!C20</f>
        <v>-88</v>
      </c>
      <c r="D16" s="21">
        <f>'A. Sources comptables'!D20</f>
        <v>-2309.4</v>
      </c>
      <c r="E16" s="21">
        <f>'A. Sources comptables'!E20</f>
        <v>-1855.7</v>
      </c>
      <c r="F16" s="75" t="s">
        <v>54</v>
      </c>
    </row>
    <row r="17" spans="2:6" ht="15" customHeight="1" x14ac:dyDescent="0.25">
      <c r="B17" s="12" t="s">
        <v>22</v>
      </c>
      <c r="C17" s="24">
        <f>'A. Sources comptables'!C22</f>
        <v>-352.9</v>
      </c>
      <c r="D17" s="24">
        <f>'A. Sources comptables'!D22</f>
        <v>-129.30000000000001</v>
      </c>
      <c r="E17" s="24">
        <f>'A. Sources comptables'!E22</f>
        <v>-483.8</v>
      </c>
      <c r="F17" s="60"/>
    </row>
    <row r="18" spans="2:6" ht="15" customHeight="1" x14ac:dyDescent="0.25">
      <c r="B18" s="4" t="s">
        <v>55</v>
      </c>
      <c r="C18" s="23">
        <f>'A. Sources comptables'!C23</f>
        <v>842.3</v>
      </c>
      <c r="D18" s="23">
        <f>'A. Sources comptables'!D23</f>
        <v>-1103.3</v>
      </c>
      <c r="E18" s="23">
        <f>'A. Sources comptables'!E23</f>
        <v>1974.5</v>
      </c>
      <c r="F18" s="61" t="s">
        <v>252</v>
      </c>
    </row>
    <row r="19" spans="2:6" x14ac:dyDescent="0.25">
      <c r="F19" s="63"/>
    </row>
    <row r="20" spans="2:6" ht="15" customHeight="1" x14ac:dyDescent="0.25">
      <c r="B20" s="2" t="s">
        <v>56</v>
      </c>
      <c r="C20" s="3"/>
      <c r="D20" s="3"/>
      <c r="E20" s="3"/>
      <c r="F20" s="64"/>
    </row>
    <row r="21" spans="2:6" ht="15" customHeight="1" x14ac:dyDescent="0.25">
      <c r="B21" s="4" t="s">
        <v>57</v>
      </c>
      <c r="C21" s="23">
        <f>'A. Sources comptables'!C26</f>
        <v>2399</v>
      </c>
      <c r="D21" s="23">
        <f>'A. Sources comptables'!D26</f>
        <v>2325.6</v>
      </c>
      <c r="E21" s="23">
        <f>'A. Sources comptables'!E26</f>
        <v>2095.1</v>
      </c>
      <c r="F21" s="61" t="s">
        <v>58</v>
      </c>
    </row>
    <row r="22" spans="2:6" ht="15" customHeight="1" x14ac:dyDescent="0.25">
      <c r="B22" s="6" t="s">
        <v>59</v>
      </c>
      <c r="C22" s="14">
        <f>C21/C5</f>
        <v>0.21083993215155164</v>
      </c>
      <c r="D22" s="14">
        <f>D21/D5</f>
        <v>0.20866943624438083</v>
      </c>
      <c r="E22" s="14">
        <f>E21/E5</f>
        <v>0.20206589251957871</v>
      </c>
      <c r="F22" s="62"/>
    </row>
    <row r="23" spans="2:6" ht="15" customHeight="1" x14ac:dyDescent="0.25">
      <c r="B23" s="4" t="s">
        <v>60</v>
      </c>
      <c r="C23" s="23">
        <f>'A. Sources comptables'!C28</f>
        <v>1551.3</v>
      </c>
      <c r="D23" s="23">
        <f>'A. Sources comptables'!D28</f>
        <v>1489.7</v>
      </c>
      <c r="E23" s="23">
        <f>'A. Sources comptables'!E28</f>
        <v>1333.9</v>
      </c>
      <c r="F23" s="61" t="s">
        <v>61</v>
      </c>
    </row>
    <row r="24" spans="2:6" ht="15" customHeight="1" x14ac:dyDescent="0.25">
      <c r="B24" s="8" t="s">
        <v>62</v>
      </c>
      <c r="C24" s="21">
        <f>'A. Sources comptables'!C29</f>
        <v>-131.80000000000001</v>
      </c>
      <c r="D24" s="21">
        <f>'A. Sources comptables'!D29</f>
        <v>-335</v>
      </c>
      <c r="E24" s="21">
        <f>'A. Sources comptables'!E29</f>
        <v>367.7</v>
      </c>
      <c r="F24" s="75" t="s">
        <v>253</v>
      </c>
    </row>
    <row r="25" spans="2:6" ht="15" customHeight="1" x14ac:dyDescent="0.25">
      <c r="B25" s="6" t="s">
        <v>63</v>
      </c>
      <c r="C25" s="14">
        <f>-C24/C5</f>
        <v>1.1583452712619638E-2</v>
      </c>
      <c r="D25" s="14">
        <f>-D24/D5</f>
        <v>3.0058591822268482E-2</v>
      </c>
      <c r="E25" s="14">
        <f>E24/E5</f>
        <v>3.5463523783804636E-2</v>
      </c>
      <c r="F25" s="20"/>
    </row>
    <row r="26" spans="2:6" x14ac:dyDescent="0.25">
      <c r="C26" s="102"/>
    </row>
    <row r="27" spans="2:6" ht="36" customHeight="1" x14ac:dyDescent="0.25">
      <c r="B27" s="105" t="s">
        <v>64</v>
      </c>
      <c r="C27" s="105"/>
      <c r="D27" s="105"/>
    </row>
    <row r="29" spans="2:6" ht="15" customHeight="1" x14ac:dyDescent="0.25">
      <c r="B29" s="110" t="s">
        <v>65</v>
      </c>
      <c r="C29" s="110"/>
      <c r="D29" s="110"/>
      <c r="E29" s="110"/>
      <c r="F29" s="110"/>
    </row>
    <row r="30" spans="2:6" ht="120" customHeight="1" x14ac:dyDescent="0.25">
      <c r="B30" s="109" t="s">
        <v>254</v>
      </c>
      <c r="C30" s="109"/>
      <c r="D30" s="109"/>
      <c r="E30" s="109"/>
      <c r="F30" s="109"/>
    </row>
  </sheetData>
  <mergeCells count="4">
    <mergeCell ref="B30:F30"/>
    <mergeCell ref="B2:F2"/>
    <mergeCell ref="B29:F29"/>
    <mergeCell ref="B27:D2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theme="3" tint="0.79998168889431442"/>
  </sheetPr>
  <dimension ref="B1:T26"/>
  <sheetViews>
    <sheetView showGridLines="0" zoomScaleNormal="100" workbookViewId="0">
      <pane xSplit="2" ySplit="3" topLeftCell="C4" activePane="bottomRight" state="frozen"/>
      <selection activeCell="C28" sqref="C28"/>
      <selection pane="topRight" activeCell="C28" sqref="C28"/>
      <selection pane="bottomLeft" activeCell="C28" sqref="C28"/>
      <selection pane="bottomRight" activeCell="D20" sqref="D20"/>
    </sheetView>
  </sheetViews>
  <sheetFormatPr defaultColWidth="8.7109375" defaultRowHeight="15" x14ac:dyDescent="0.25"/>
  <cols>
    <col min="1" max="1" width="3" customWidth="1"/>
    <col min="2" max="2" width="48.28515625" bestFit="1" customWidth="1"/>
    <col min="3" max="3" width="4.28515625" customWidth="1"/>
    <col min="4" max="8" width="14" customWidth="1"/>
    <col min="9" max="9" width="3" customWidth="1"/>
    <col min="10" max="14" width="14" customWidth="1"/>
    <col min="15" max="15" width="3" customWidth="1"/>
    <col min="16" max="20" width="14" customWidth="1"/>
  </cols>
  <sheetData>
    <row r="1" spans="2:20" ht="9.9499999999999993" customHeight="1" x14ac:dyDescent="0.25"/>
    <row r="2" spans="2:20" ht="15" customHeight="1" x14ac:dyDescent="0.25">
      <c r="B2" s="114" t="s">
        <v>255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</row>
    <row r="3" spans="2:20" ht="15" customHeight="1" x14ac:dyDescent="0.25">
      <c r="B3" s="67" t="s">
        <v>189</v>
      </c>
      <c r="C3" s="67"/>
      <c r="D3" s="111" t="s">
        <v>256</v>
      </c>
      <c r="E3" s="111"/>
      <c r="F3" s="111"/>
      <c r="G3" s="111"/>
      <c r="H3" s="111"/>
      <c r="J3" s="112" t="s">
        <v>257</v>
      </c>
      <c r="K3" s="112"/>
      <c r="L3" s="112"/>
      <c r="M3" s="112"/>
      <c r="N3" s="112"/>
      <c r="P3" s="113" t="s">
        <v>258</v>
      </c>
      <c r="Q3" s="113"/>
      <c r="R3" s="113"/>
      <c r="S3" s="113"/>
      <c r="T3" s="113"/>
    </row>
    <row r="4" spans="2:20" ht="15" customHeight="1" x14ac:dyDescent="0.25">
      <c r="B4" s="25"/>
      <c r="C4" s="78"/>
      <c r="D4" s="25" t="s">
        <v>66</v>
      </c>
      <c r="E4" s="25" t="s">
        <v>67</v>
      </c>
      <c r="F4" s="25" t="s">
        <v>68</v>
      </c>
      <c r="G4" s="25" t="s">
        <v>69</v>
      </c>
      <c r="H4" s="25" t="s">
        <v>70</v>
      </c>
      <c r="I4" s="25"/>
      <c r="J4" s="25" t="s">
        <v>66</v>
      </c>
      <c r="K4" s="25" t="s">
        <v>67</v>
      </c>
      <c r="L4" s="25" t="s">
        <v>68</v>
      </c>
      <c r="M4" s="25" t="s">
        <v>69</v>
      </c>
      <c r="N4" s="25" t="s">
        <v>70</v>
      </c>
      <c r="O4" s="25"/>
      <c r="P4" s="25" t="s">
        <v>66</v>
      </c>
      <c r="Q4" s="25" t="s">
        <v>67</v>
      </c>
      <c r="R4" s="25" t="s">
        <v>68</v>
      </c>
      <c r="S4" s="25" t="s">
        <v>69</v>
      </c>
      <c r="T4" s="25" t="s">
        <v>70</v>
      </c>
    </row>
    <row r="5" spans="2:20" ht="15" customHeight="1" x14ac:dyDescent="0.25">
      <c r="B5" s="2" t="s">
        <v>259</v>
      </c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2:20" ht="15" customHeight="1" x14ac:dyDescent="0.25">
      <c r="B6" s="12" t="s">
        <v>71</v>
      </c>
      <c r="C6" s="76"/>
      <c r="D6" s="26">
        <v>-0.05</v>
      </c>
      <c r="E6" s="26">
        <v>-0.04</v>
      </c>
      <c r="F6" s="26">
        <v>-0.02</v>
      </c>
      <c r="G6" s="26">
        <v>-0.01</v>
      </c>
      <c r="H6" s="26">
        <v>-0.01</v>
      </c>
      <c r="J6" s="26">
        <v>-0.02</v>
      </c>
      <c r="K6" s="26">
        <v>0</v>
      </c>
      <c r="L6" s="26">
        <v>0.01</v>
      </c>
      <c r="M6" s="26">
        <v>0.02</v>
      </c>
      <c r="N6" s="26">
        <v>0.02</v>
      </c>
      <c r="P6" s="26">
        <v>0.01</v>
      </c>
      <c r="Q6" s="26">
        <v>0.02</v>
      </c>
      <c r="R6" s="26">
        <v>0.03</v>
      </c>
      <c r="S6" s="26">
        <v>0.03</v>
      </c>
      <c r="T6" s="26">
        <v>0.03</v>
      </c>
    </row>
    <row r="7" spans="2:20" ht="15" customHeight="1" x14ac:dyDescent="0.25">
      <c r="B7" s="10" t="s">
        <v>72</v>
      </c>
      <c r="C7" s="76"/>
      <c r="D7" s="27">
        <v>0.31</v>
      </c>
      <c r="E7" s="27">
        <v>0.31</v>
      </c>
      <c r="F7" s="27">
        <v>0.32</v>
      </c>
      <c r="G7" s="27">
        <v>0.32</v>
      </c>
      <c r="H7" s="27">
        <v>0.33</v>
      </c>
      <c r="J7" s="27">
        <v>0.33</v>
      </c>
      <c r="K7" s="27">
        <v>0.33</v>
      </c>
      <c r="L7" s="27">
        <v>0.34</v>
      </c>
      <c r="M7" s="27">
        <v>0.35</v>
      </c>
      <c r="N7" s="27">
        <v>0.35</v>
      </c>
      <c r="P7" s="27">
        <v>0.34</v>
      </c>
      <c r="Q7" s="27">
        <v>0.35</v>
      </c>
      <c r="R7" s="27">
        <v>0.36</v>
      </c>
      <c r="S7" s="27">
        <v>0.37</v>
      </c>
      <c r="T7" s="27">
        <v>0.38</v>
      </c>
    </row>
    <row r="8" spans="2:20" ht="15" customHeight="1" x14ac:dyDescent="0.25">
      <c r="B8" s="12" t="s">
        <v>73</v>
      </c>
      <c r="C8" s="76"/>
      <c r="D8" s="26">
        <v>0.21</v>
      </c>
      <c r="E8" s="26">
        <v>0.21</v>
      </c>
      <c r="F8" s="26">
        <v>0.2</v>
      </c>
      <c r="G8" s="26">
        <v>0.2</v>
      </c>
      <c r="H8" s="26">
        <v>0.2</v>
      </c>
      <c r="J8" s="26">
        <v>0.2</v>
      </c>
      <c r="K8" s="26">
        <v>0.2</v>
      </c>
      <c r="L8" s="26">
        <v>0.19</v>
      </c>
      <c r="M8" s="26">
        <v>0.19</v>
      </c>
      <c r="N8" s="26">
        <v>0.18</v>
      </c>
      <c r="P8" s="26">
        <v>0.19</v>
      </c>
      <c r="Q8" s="26">
        <v>0.18</v>
      </c>
      <c r="R8" s="26">
        <v>0.18</v>
      </c>
      <c r="S8" s="26">
        <v>0.17</v>
      </c>
      <c r="T8" s="26">
        <v>0.17</v>
      </c>
    </row>
    <row r="9" spans="2:20" ht="15" customHeight="1" x14ac:dyDescent="0.25">
      <c r="B9" s="10" t="s">
        <v>74</v>
      </c>
      <c r="C9" s="76"/>
      <c r="D9" s="28">
        <v>-100</v>
      </c>
      <c r="E9" s="28">
        <v>-100</v>
      </c>
      <c r="F9" s="28">
        <v>-100</v>
      </c>
      <c r="G9" s="28">
        <v>-100</v>
      </c>
      <c r="H9" s="28">
        <v>-100</v>
      </c>
      <c r="J9" s="28">
        <v>-100</v>
      </c>
      <c r="K9" s="28">
        <v>-100</v>
      </c>
      <c r="L9" s="28">
        <v>-100</v>
      </c>
      <c r="M9" s="28">
        <v>-100</v>
      </c>
      <c r="N9" s="28">
        <v>-100</v>
      </c>
      <c r="P9" s="28">
        <v>-100</v>
      </c>
      <c r="Q9" s="28">
        <v>-100</v>
      </c>
      <c r="R9" s="28">
        <v>-100</v>
      </c>
      <c r="S9" s="28">
        <v>-100</v>
      </c>
      <c r="T9" s="28">
        <v>-100</v>
      </c>
    </row>
    <row r="10" spans="2:20" ht="15" customHeight="1" x14ac:dyDescent="0.25">
      <c r="B10" s="12" t="s">
        <v>75</v>
      </c>
      <c r="C10" s="76"/>
      <c r="D10" s="26">
        <v>0.25</v>
      </c>
      <c r="E10" s="26">
        <v>0.25</v>
      </c>
      <c r="F10" s="26">
        <v>0.25</v>
      </c>
      <c r="G10" s="26">
        <v>0.25</v>
      </c>
      <c r="H10" s="26">
        <v>0.25</v>
      </c>
      <c r="J10" s="26">
        <v>0.25</v>
      </c>
      <c r="K10" s="26">
        <v>0.25</v>
      </c>
      <c r="L10" s="26">
        <v>0.25</v>
      </c>
      <c r="M10" s="26">
        <v>0.25</v>
      </c>
      <c r="N10" s="26">
        <v>0.25</v>
      </c>
      <c r="P10" s="26">
        <v>0.25</v>
      </c>
      <c r="Q10" s="26">
        <v>0.25</v>
      </c>
      <c r="R10" s="26">
        <v>0.25</v>
      </c>
      <c r="S10" s="26">
        <v>0.25</v>
      </c>
      <c r="T10" s="26">
        <v>0.25</v>
      </c>
    </row>
    <row r="12" spans="2:20" ht="15" customHeight="1" x14ac:dyDescent="0.25">
      <c r="B12" s="2" t="s">
        <v>76</v>
      </c>
      <c r="C12" s="2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2:20" ht="15" customHeight="1" x14ac:dyDescent="0.25">
      <c r="B13" s="4" t="s">
        <v>77</v>
      </c>
      <c r="C13" s="77"/>
      <c r="D13" s="23">
        <f>'1. Historique'!E5*(1+D6)</f>
        <v>9849.98</v>
      </c>
      <c r="E13" s="29">
        <f>D13*(1+E6)</f>
        <v>9455.9807999999994</v>
      </c>
      <c r="F13" s="29">
        <f>E13*(1+F6)</f>
        <v>9266.8611839999994</v>
      </c>
      <c r="G13" s="29">
        <f>F13*(1+G6)</f>
        <v>9174.1925721600001</v>
      </c>
      <c r="H13" s="29">
        <f>G13*(1+H6)</f>
        <v>9082.4506464383994</v>
      </c>
      <c r="J13" s="23">
        <f>'1. Historique'!E5*(1+J6)</f>
        <v>10161.031999999999</v>
      </c>
      <c r="K13" s="29">
        <f>J13*(1+K6)</f>
        <v>10161.031999999999</v>
      </c>
      <c r="L13" s="29">
        <f>K13*(1+L6)</f>
        <v>10262.642319999999</v>
      </c>
      <c r="M13" s="29">
        <f>L13*(1+M6)</f>
        <v>10467.8951664</v>
      </c>
      <c r="N13" s="29">
        <f>M13*(1+N6)</f>
        <v>10677.253069728</v>
      </c>
      <c r="P13" s="23">
        <f>'1. Historique'!E5*(1+P6)</f>
        <v>10472.083999999999</v>
      </c>
      <c r="Q13" s="29">
        <f>P13*(1+Q6)</f>
        <v>10681.525679999999</v>
      </c>
      <c r="R13" s="29">
        <f>Q13*(1+R6)</f>
        <v>11001.971450399999</v>
      </c>
      <c r="S13" s="29">
        <f>R13*(1+S6)</f>
        <v>11332.030593911999</v>
      </c>
      <c r="T13" s="29">
        <f>S13*(1+T6)</f>
        <v>11671.991511729359</v>
      </c>
    </row>
    <row r="14" spans="2:20" ht="15" customHeight="1" x14ac:dyDescent="0.25">
      <c r="B14" s="6" t="s">
        <v>78</v>
      </c>
      <c r="C14" s="76"/>
      <c r="D14" s="19">
        <f>D13-'1. Historique'!E5</f>
        <v>-518.42000000000007</v>
      </c>
      <c r="E14" s="22">
        <f>E13-D13</f>
        <v>-393.9992000000002</v>
      </c>
      <c r="F14" s="22">
        <f>F13-E13</f>
        <v>-189.11961599999995</v>
      </c>
      <c r="G14" s="22">
        <f>G13-F13</f>
        <v>-92.668611839999357</v>
      </c>
      <c r="H14" s="22">
        <f>H13-G13</f>
        <v>-91.741925721600637</v>
      </c>
      <c r="J14" s="19">
        <f>J13-'1. Historique'!E5</f>
        <v>-207.36800000000039</v>
      </c>
      <c r="K14" s="22">
        <f>K13-J13</f>
        <v>0</v>
      </c>
      <c r="L14" s="22">
        <f>L13-K13</f>
        <v>101.61031999999977</v>
      </c>
      <c r="M14" s="22">
        <f>M13-L13</f>
        <v>205.25284640000064</v>
      </c>
      <c r="N14" s="22">
        <f>N13-M13</f>
        <v>209.35790332800025</v>
      </c>
      <c r="P14" s="19">
        <f>P13-'1. Historique'!E5</f>
        <v>103.68399999999929</v>
      </c>
      <c r="Q14" s="22">
        <f>Q13-P13</f>
        <v>209.44167999999991</v>
      </c>
      <c r="R14" s="22">
        <f>R13-Q13</f>
        <v>320.44577039999967</v>
      </c>
      <c r="S14" s="22">
        <f>S13-R13</f>
        <v>330.05914351200045</v>
      </c>
      <c r="T14" s="22">
        <f>T13-S13</f>
        <v>339.96091781735959</v>
      </c>
    </row>
    <row r="15" spans="2:20" ht="15" customHeight="1" x14ac:dyDescent="0.25">
      <c r="B15" s="4" t="s">
        <v>79</v>
      </c>
      <c r="C15" s="77"/>
      <c r="D15" s="29">
        <f>D13*D7</f>
        <v>3053.4937999999997</v>
      </c>
      <c r="E15" s="29">
        <f>E13*E7</f>
        <v>2931.3540479999997</v>
      </c>
      <c r="F15" s="29">
        <f>F13*F7</f>
        <v>2965.3955788799999</v>
      </c>
      <c r="G15" s="29">
        <f>G13*G7</f>
        <v>2935.7416230911999</v>
      </c>
      <c r="H15" s="29">
        <f>H13*H7</f>
        <v>2997.2087133246719</v>
      </c>
      <c r="J15" s="29">
        <f>J13*J7</f>
        <v>3353.1405599999998</v>
      </c>
      <c r="K15" s="29">
        <f>K13*K7</f>
        <v>3353.1405599999998</v>
      </c>
      <c r="L15" s="29">
        <f>L13*L7</f>
        <v>3489.2983887999999</v>
      </c>
      <c r="M15" s="29">
        <f>M13*M7</f>
        <v>3663.7633082399998</v>
      </c>
      <c r="N15" s="29">
        <f>N13*N7</f>
        <v>3737.0385744047999</v>
      </c>
      <c r="P15" s="29">
        <f>P13*P7</f>
        <v>3560.5085599999998</v>
      </c>
      <c r="Q15" s="29">
        <f>Q13*Q7</f>
        <v>3738.5339879999992</v>
      </c>
      <c r="R15" s="29">
        <f>R13*R7</f>
        <v>3960.7097221439994</v>
      </c>
      <c r="S15" s="29">
        <f>S13*S7</f>
        <v>4192.8513197474394</v>
      </c>
      <c r="T15" s="29">
        <f>T13*T7</f>
        <v>4435.3567744571565</v>
      </c>
    </row>
    <row r="16" spans="2:20" ht="15" customHeight="1" x14ac:dyDescent="0.25">
      <c r="B16" s="6" t="s">
        <v>13</v>
      </c>
      <c r="C16" s="76"/>
      <c r="D16" s="14">
        <f>D15/D13</f>
        <v>0.31</v>
      </c>
      <c r="E16" s="14">
        <f>E15/E13</f>
        <v>0.31</v>
      </c>
      <c r="F16" s="14">
        <f>F15/F13</f>
        <v>0.32</v>
      </c>
      <c r="G16" s="14">
        <f>G15/G13</f>
        <v>0.32</v>
      </c>
      <c r="H16" s="14">
        <f>H15/H13</f>
        <v>0.33</v>
      </c>
      <c r="J16" s="14">
        <f>J15/J13</f>
        <v>0.33</v>
      </c>
      <c r="K16" s="14">
        <f>K15/K13</f>
        <v>0.33</v>
      </c>
      <c r="L16" s="14">
        <f>L15/L13</f>
        <v>0.34</v>
      </c>
      <c r="M16" s="14">
        <f>M15/M13</f>
        <v>0.35</v>
      </c>
      <c r="N16" s="14">
        <f>N15/N13</f>
        <v>0.35</v>
      </c>
      <c r="P16" s="14">
        <f>P15/P13</f>
        <v>0.34</v>
      </c>
      <c r="Q16" s="14">
        <f>Q15/Q13</f>
        <v>0.35</v>
      </c>
      <c r="R16" s="14">
        <f>R15/R13</f>
        <v>0.36</v>
      </c>
      <c r="S16" s="14">
        <f>S15/S13</f>
        <v>0.37</v>
      </c>
      <c r="T16" s="14">
        <f>T15/T13</f>
        <v>0.38</v>
      </c>
    </row>
    <row r="17" spans="2:20" ht="15" customHeight="1" x14ac:dyDescent="0.25">
      <c r="B17" s="12" t="s">
        <v>80</v>
      </c>
      <c r="C17" s="76"/>
      <c r="D17" s="24">
        <f>'1. Historique'!E13</f>
        <v>-3069.3</v>
      </c>
      <c r="E17" s="13">
        <f>D17</f>
        <v>-3069.3</v>
      </c>
      <c r="F17" s="13">
        <f t="shared" ref="F17:H17" si="0">E17</f>
        <v>-3069.3</v>
      </c>
      <c r="G17" s="13">
        <f t="shared" si="0"/>
        <v>-3069.3</v>
      </c>
      <c r="H17" s="13">
        <f t="shared" si="0"/>
        <v>-3069.3</v>
      </c>
      <c r="J17" s="13">
        <f>'1. Historique'!E13</f>
        <v>-3069.3</v>
      </c>
      <c r="K17" s="13">
        <v>-3069.3</v>
      </c>
      <c r="L17" s="13">
        <v>-3069.3</v>
      </c>
      <c r="M17" s="13">
        <v>-3069.3</v>
      </c>
      <c r="N17" s="13">
        <v>-3069.3</v>
      </c>
      <c r="P17" s="13">
        <v>-3069.3</v>
      </c>
      <c r="Q17" s="13">
        <v>-3069.3</v>
      </c>
      <c r="R17" s="13">
        <v>-3069.3</v>
      </c>
      <c r="S17" s="13">
        <v>-3069.3</v>
      </c>
      <c r="T17" s="13">
        <v>-3069.3</v>
      </c>
    </row>
    <row r="18" spans="2:20" ht="15" customHeight="1" x14ac:dyDescent="0.25">
      <c r="B18" s="4" t="s">
        <v>81</v>
      </c>
      <c r="C18" s="77"/>
      <c r="D18" s="29">
        <f>D15+D17</f>
        <v>-15.806200000000445</v>
      </c>
      <c r="E18" s="29">
        <f>E15+E17</f>
        <v>-137.94595200000049</v>
      </c>
      <c r="F18" s="29">
        <f>F15+F17</f>
        <v>-103.90442112000028</v>
      </c>
      <c r="G18" s="29">
        <f>G15+G17</f>
        <v>-133.55837690880026</v>
      </c>
      <c r="H18" s="29">
        <f>H15+H17</f>
        <v>-72.09128667532832</v>
      </c>
      <c r="J18" s="29">
        <f>J15+J17</f>
        <v>283.84055999999964</v>
      </c>
      <c r="K18" s="29">
        <f>K15+K17</f>
        <v>283.84055999999964</v>
      </c>
      <c r="L18" s="29">
        <f>L15+L17</f>
        <v>419.9983887999997</v>
      </c>
      <c r="M18" s="29">
        <f>M15+M17</f>
        <v>594.46330823999961</v>
      </c>
      <c r="N18" s="29">
        <f>N15+N17</f>
        <v>667.73857440479969</v>
      </c>
      <c r="P18" s="29">
        <f>P15+P17</f>
        <v>491.20855999999958</v>
      </c>
      <c r="Q18" s="29">
        <f>Q15+Q17</f>
        <v>669.23398799999904</v>
      </c>
      <c r="R18" s="29">
        <f>R15+R17</f>
        <v>891.40972214399926</v>
      </c>
      <c r="S18" s="29">
        <f>S15+S17</f>
        <v>1123.5513197474393</v>
      </c>
      <c r="T18" s="29">
        <f>T15+T17</f>
        <v>1366.0567744571563</v>
      </c>
    </row>
    <row r="19" spans="2:20" ht="15" customHeight="1" x14ac:dyDescent="0.25">
      <c r="B19" s="12" t="s">
        <v>82</v>
      </c>
      <c r="C19" s="76"/>
      <c r="D19" s="30">
        <f>-D13*D8</f>
        <v>-2068.4957999999997</v>
      </c>
      <c r="E19" s="30">
        <f>-E13*E8</f>
        <v>-1985.7559679999997</v>
      </c>
      <c r="F19" s="30">
        <f>-F13*F8</f>
        <v>-1853.3722367999999</v>
      </c>
      <c r="G19" s="30">
        <f>-G13*G8</f>
        <v>-1834.838514432</v>
      </c>
      <c r="H19" s="30">
        <f>-H13*H8</f>
        <v>-1816.49012928768</v>
      </c>
      <c r="J19" s="30">
        <f>-J13*J8</f>
        <v>-2032.2064</v>
      </c>
      <c r="K19" s="30">
        <f>-K13*K8</f>
        <v>-2032.2064</v>
      </c>
      <c r="L19" s="30">
        <f>-L13*L8</f>
        <v>-1949.9020407999999</v>
      </c>
      <c r="M19" s="30">
        <f>-M13*M8</f>
        <v>-1988.9000816159999</v>
      </c>
      <c r="N19" s="30">
        <f>-N13*N8</f>
        <v>-1921.9055525510398</v>
      </c>
      <c r="P19" s="30">
        <f>-P13*P8</f>
        <v>-1989.6959599999998</v>
      </c>
      <c r="Q19" s="30">
        <f>-Q13*Q8</f>
        <v>-1922.6746223999996</v>
      </c>
      <c r="R19" s="30">
        <f>-R13*R8</f>
        <v>-1980.3548610719997</v>
      </c>
      <c r="S19" s="30">
        <f>-S13*S8</f>
        <v>-1926.4452009650399</v>
      </c>
      <c r="T19" s="30">
        <f>-T13*T8</f>
        <v>-1984.2385569939911</v>
      </c>
    </row>
    <row r="20" spans="2:20" ht="15" customHeight="1" x14ac:dyDescent="0.25">
      <c r="B20" s="6" t="s">
        <v>83</v>
      </c>
      <c r="C20" s="76"/>
      <c r="D20" s="14">
        <f>-D19/D13</f>
        <v>0.20999999999999996</v>
      </c>
      <c r="E20" s="14">
        <f>-E19/E13</f>
        <v>0.21</v>
      </c>
      <c r="F20" s="14">
        <f>-F19/F13</f>
        <v>0.2</v>
      </c>
      <c r="G20" s="14">
        <f>-G19/G13</f>
        <v>0.2</v>
      </c>
      <c r="H20" s="14">
        <f>-H19/H13</f>
        <v>0.2</v>
      </c>
      <c r="J20" s="14">
        <f>-J19/J13</f>
        <v>0.2</v>
      </c>
      <c r="K20" s="14">
        <f>-K19/K13</f>
        <v>0.2</v>
      </c>
      <c r="L20" s="14">
        <f>-L19/L13</f>
        <v>0.19</v>
      </c>
      <c r="M20" s="14">
        <f>-M19/M13</f>
        <v>0.19</v>
      </c>
      <c r="N20" s="14">
        <f>-N19/N13</f>
        <v>0.18</v>
      </c>
      <c r="P20" s="14">
        <f>-P19/P13</f>
        <v>0.19</v>
      </c>
      <c r="Q20" s="14">
        <f>-Q19/Q13</f>
        <v>0.18</v>
      </c>
      <c r="R20" s="14">
        <f>-R19/R13</f>
        <v>0.18</v>
      </c>
      <c r="S20" s="14">
        <f>-S19/S13</f>
        <v>0.17</v>
      </c>
      <c r="T20" s="14">
        <f>-T19/T13</f>
        <v>0.17</v>
      </c>
    </row>
    <row r="21" spans="2:20" ht="15" customHeight="1" x14ac:dyDescent="0.25">
      <c r="B21" s="4" t="s">
        <v>60</v>
      </c>
      <c r="C21" s="77"/>
      <c r="D21" s="29">
        <f>D15+D19</f>
        <v>984.99800000000005</v>
      </c>
      <c r="E21" s="29">
        <f>E15+E19</f>
        <v>945.59807999999998</v>
      </c>
      <c r="F21" s="29">
        <f>F15+F19</f>
        <v>1112.02334208</v>
      </c>
      <c r="G21" s="29">
        <f>G15+G19</f>
        <v>1100.9031086591999</v>
      </c>
      <c r="H21" s="29">
        <f>H15+H19</f>
        <v>1180.7185840369918</v>
      </c>
      <c r="J21" s="29">
        <f>J15+J19</f>
        <v>1320.9341599999998</v>
      </c>
      <c r="K21" s="29">
        <f>K15+K19</f>
        <v>1320.9341599999998</v>
      </c>
      <c r="L21" s="29">
        <f>L15+L19</f>
        <v>1539.396348</v>
      </c>
      <c r="M21" s="29">
        <f>M15+M19</f>
        <v>1674.8632266239999</v>
      </c>
      <c r="N21" s="29">
        <f>N15+N19</f>
        <v>1815.1330218537601</v>
      </c>
      <c r="P21" s="29">
        <f>P15+P19</f>
        <v>1570.8126</v>
      </c>
      <c r="Q21" s="29">
        <f>Q15+Q19</f>
        <v>1815.8593655999996</v>
      </c>
      <c r="R21" s="29">
        <f>R15+R19</f>
        <v>1980.3548610719997</v>
      </c>
      <c r="S21" s="29">
        <f>S15+S19</f>
        <v>2266.4061187823995</v>
      </c>
      <c r="T21" s="29">
        <f>T15+T19</f>
        <v>2451.1182174631654</v>
      </c>
    </row>
    <row r="22" spans="2:20" ht="15" customHeight="1" x14ac:dyDescent="0.25">
      <c r="B22" s="12" t="s">
        <v>84</v>
      </c>
      <c r="C22" s="76"/>
      <c r="D22" s="31">
        <f>D9</f>
        <v>-100</v>
      </c>
      <c r="E22" s="31">
        <f>E9</f>
        <v>-100</v>
      </c>
      <c r="F22" s="31">
        <f>F9</f>
        <v>-100</v>
      </c>
      <c r="G22" s="31">
        <f>G9</f>
        <v>-100</v>
      </c>
      <c r="H22" s="31">
        <f>H9</f>
        <v>-100</v>
      </c>
      <c r="J22" s="31">
        <f>J9</f>
        <v>-100</v>
      </c>
      <c r="K22" s="31">
        <f>K9</f>
        <v>-100</v>
      </c>
      <c r="L22" s="31">
        <f>L9</f>
        <v>-100</v>
      </c>
      <c r="M22" s="31">
        <f>M9</f>
        <v>-100</v>
      </c>
      <c r="N22" s="31">
        <f>N9</f>
        <v>-100</v>
      </c>
      <c r="P22" s="31">
        <f>P9</f>
        <v>-100</v>
      </c>
      <c r="Q22" s="31">
        <f>Q9</f>
        <v>-100</v>
      </c>
      <c r="R22" s="31">
        <f>R9</f>
        <v>-100</v>
      </c>
      <c r="S22" s="31">
        <f>S9</f>
        <v>-100</v>
      </c>
      <c r="T22" s="31">
        <f>T9</f>
        <v>-100</v>
      </c>
    </row>
    <row r="23" spans="2:20" ht="15" customHeight="1" x14ac:dyDescent="0.25">
      <c r="B23" s="12" t="s">
        <v>85</v>
      </c>
      <c r="C23" s="76"/>
      <c r="D23" s="30">
        <f>IF(D18&gt;0,-D18*D10,0)</f>
        <v>0</v>
      </c>
      <c r="E23" s="30">
        <f>IF(E18&gt;0,-E18*E10,0)</f>
        <v>0</v>
      </c>
      <c r="F23" s="30">
        <f>IF(F18&gt;0,-F18*F10,0)</f>
        <v>0</v>
      </c>
      <c r="G23" s="30">
        <f>IF(G18&gt;0,-G18*G10,0)</f>
        <v>0</v>
      </c>
      <c r="H23" s="30">
        <f>IF(H18&gt;0,-H18*H10,0)</f>
        <v>0</v>
      </c>
      <c r="J23" s="30">
        <f>IF(J18&gt;0,-J18*J10,0)</f>
        <v>-70.96013999999991</v>
      </c>
      <c r="K23" s="30">
        <f>IF(K18&gt;0,-K18*K10,0)</f>
        <v>-70.96013999999991</v>
      </c>
      <c r="L23" s="30">
        <f>IF(L18&gt;0,-L18*L10,0)</f>
        <v>-104.99959719999993</v>
      </c>
      <c r="M23" s="30">
        <f>IF(M18&gt;0,-M18*M10,0)</f>
        <v>-148.6158270599999</v>
      </c>
      <c r="N23" s="30">
        <f>IF(N18&gt;0,-N18*N10,0)</f>
        <v>-166.93464360119992</v>
      </c>
      <c r="P23" s="30">
        <f>IF(P18&gt;0,-P18*P10,0)</f>
        <v>-122.80213999999989</v>
      </c>
      <c r="Q23" s="30">
        <f>IF(Q18&gt;0,-Q18*Q10,0)</f>
        <v>-167.30849699999976</v>
      </c>
      <c r="R23" s="30">
        <f>IF(R18&gt;0,-R18*R10,0)</f>
        <v>-222.85243053599982</v>
      </c>
      <c r="S23" s="30">
        <f>IF(S18&gt;0,-S18*S10,0)</f>
        <v>-280.88782993685982</v>
      </c>
      <c r="T23" s="30">
        <f>IF(T18&gt;0,-T18*T10,0)</f>
        <v>-341.51419361428907</v>
      </c>
    </row>
    <row r="24" spans="2:20" ht="15" customHeight="1" x14ac:dyDescent="0.25">
      <c r="B24" s="4" t="s">
        <v>86</v>
      </c>
      <c r="C24" s="77"/>
      <c r="D24" s="29">
        <f>D15+D19+D22+D23</f>
        <v>884.99800000000005</v>
      </c>
      <c r="E24" s="29">
        <f>E15+E19+E22+E23</f>
        <v>845.59807999999998</v>
      </c>
      <c r="F24" s="29">
        <f>F15+F19+F22+F23</f>
        <v>1012.02334208</v>
      </c>
      <c r="G24" s="29">
        <f>G15+G19+G22+G23</f>
        <v>1000.9031086591999</v>
      </c>
      <c r="H24" s="29">
        <f>H15+H19+H22+H23</f>
        <v>1080.7185840369918</v>
      </c>
      <c r="J24" s="29">
        <f>J15+J19+J22+J23</f>
        <v>1149.9740199999999</v>
      </c>
      <c r="K24" s="29">
        <f>K15+K19+K22+K23</f>
        <v>1149.9740199999999</v>
      </c>
      <c r="L24" s="29">
        <f>L15+L19+L22+L23</f>
        <v>1334.3967508000001</v>
      </c>
      <c r="M24" s="29">
        <f>M15+M19+M22+M23</f>
        <v>1426.247399564</v>
      </c>
      <c r="N24" s="29">
        <f>N15+N19+N22+N23</f>
        <v>1548.1983782525601</v>
      </c>
      <c r="P24" s="29">
        <f>P15+P19+P22+P23</f>
        <v>1348.01046</v>
      </c>
      <c r="Q24" s="29">
        <f>Q15+Q19+Q22+Q23</f>
        <v>1548.5508685999998</v>
      </c>
      <c r="R24" s="29">
        <f>R15+R19+R22+R23</f>
        <v>1657.5024305359998</v>
      </c>
      <c r="S24" s="29">
        <f>S15+S19+S22+S23</f>
        <v>1885.5182888455397</v>
      </c>
      <c r="T24" s="29">
        <f>T15+T19+T22+T23</f>
        <v>2009.6040238488763</v>
      </c>
    </row>
    <row r="26" spans="2:20" ht="63.75" customHeight="1" x14ac:dyDescent="0.25">
      <c r="B26" s="105" t="s">
        <v>260</v>
      </c>
      <c r="C26" s="105"/>
      <c r="D26" s="105"/>
      <c r="E26" s="105"/>
      <c r="F26" s="105"/>
    </row>
  </sheetData>
  <mergeCells count="5">
    <mergeCell ref="D3:H3"/>
    <mergeCell ref="J3:N3"/>
    <mergeCell ref="P3:T3"/>
    <mergeCell ref="B2:T2"/>
    <mergeCell ref="B26:F2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theme="3" tint="0.79998168889431442"/>
  </sheetPr>
  <dimension ref="B1:E42"/>
  <sheetViews>
    <sheetView showGridLines="0" tabSelected="1" zoomScaleNormal="100" workbookViewId="0">
      <pane ySplit="2" topLeftCell="A3" activePane="bottomLeft" state="frozen"/>
      <selection activeCell="C28" sqref="C28"/>
      <selection pane="bottomLeft" activeCell="G13" sqref="G12:G13"/>
    </sheetView>
  </sheetViews>
  <sheetFormatPr defaultColWidth="8.7109375" defaultRowHeight="15" x14ac:dyDescent="0.25"/>
  <cols>
    <col min="1" max="1" width="3" customWidth="1"/>
    <col min="2" max="2" width="51.42578125" customWidth="1"/>
    <col min="3" max="5" width="18" customWidth="1"/>
    <col min="6" max="6" width="4" customWidth="1"/>
  </cols>
  <sheetData>
    <row r="1" spans="2:5" ht="9.9499999999999993" customHeight="1" x14ac:dyDescent="0.25"/>
    <row r="2" spans="2:5" ht="15" customHeight="1" x14ac:dyDescent="0.25">
      <c r="B2" s="104" t="s">
        <v>87</v>
      </c>
      <c r="C2" s="104"/>
      <c r="D2" s="104"/>
      <c r="E2" s="104"/>
    </row>
    <row r="3" spans="2:5" ht="15" customHeight="1" x14ac:dyDescent="0.25">
      <c r="B3" s="1"/>
      <c r="C3" s="25" t="s">
        <v>88</v>
      </c>
      <c r="D3" s="25" t="s">
        <v>89</v>
      </c>
      <c r="E3" s="25" t="s">
        <v>90</v>
      </c>
    </row>
    <row r="4" spans="2:5" ht="15" customHeight="1" x14ac:dyDescent="0.25">
      <c r="B4" s="2" t="s">
        <v>261</v>
      </c>
      <c r="C4" s="3"/>
      <c r="D4" s="3"/>
      <c r="E4" s="3"/>
    </row>
    <row r="5" spans="2:5" ht="15" customHeight="1" x14ac:dyDescent="0.25">
      <c r="B5" s="10" t="s">
        <v>262</v>
      </c>
      <c r="C5" s="27">
        <v>3.5000000000000003E-2</v>
      </c>
      <c r="D5" s="27">
        <v>3.5000000000000003E-2</v>
      </c>
      <c r="E5" s="27">
        <v>3.5000000000000003E-2</v>
      </c>
    </row>
    <row r="6" spans="2:5" ht="15" customHeight="1" x14ac:dyDescent="0.25">
      <c r="B6" s="12" t="s">
        <v>91</v>
      </c>
      <c r="C6" s="26">
        <v>0.05</v>
      </c>
      <c r="D6" s="26">
        <v>0.05</v>
      </c>
      <c r="E6" s="26">
        <v>0.05</v>
      </c>
    </row>
    <row r="7" spans="2:5" ht="15" customHeight="1" x14ac:dyDescent="0.25">
      <c r="B7" s="10" t="s">
        <v>263</v>
      </c>
      <c r="C7" s="32">
        <v>0.65</v>
      </c>
      <c r="D7" s="32">
        <v>0.65</v>
      </c>
      <c r="E7" s="32">
        <v>0.65</v>
      </c>
    </row>
    <row r="8" spans="2:5" ht="15" customHeight="1" x14ac:dyDescent="0.25">
      <c r="B8" s="12" t="s">
        <v>92</v>
      </c>
      <c r="C8" s="26">
        <v>0.6</v>
      </c>
      <c r="D8" s="26">
        <v>0.55000000000000004</v>
      </c>
      <c r="E8" s="26">
        <v>0.5</v>
      </c>
    </row>
    <row r="9" spans="2:5" ht="15" customHeight="1" x14ac:dyDescent="0.25">
      <c r="B9" s="10" t="s">
        <v>93</v>
      </c>
      <c r="C9" s="15">
        <f>1-C8</f>
        <v>0.4</v>
      </c>
      <c r="D9" s="15">
        <f>1-D8</f>
        <v>0.44999999999999996</v>
      </c>
      <c r="E9" s="15">
        <f>1-E8</f>
        <v>0.5</v>
      </c>
    </row>
    <row r="10" spans="2:5" ht="15" customHeight="1" x14ac:dyDescent="0.25">
      <c r="B10" s="12" t="s">
        <v>94</v>
      </c>
      <c r="C10" s="33">
        <f>C7*(1+(C8/C9)*(1-C13))</f>
        <v>1.3812500000000001</v>
      </c>
      <c r="D10" s="33">
        <f>D7*(1+(D8/D9)*(1-D13))</f>
        <v>1.2458333333333336</v>
      </c>
      <c r="E10" s="33">
        <f>E7*(1+(E8/E9)*(1-E13))</f>
        <v>1.1375</v>
      </c>
    </row>
    <row r="11" spans="2:5" ht="15" customHeight="1" x14ac:dyDescent="0.25">
      <c r="B11" s="10" t="s">
        <v>95</v>
      </c>
      <c r="C11" s="15">
        <f>C5+C10*C6</f>
        <v>0.10406250000000002</v>
      </c>
      <c r="D11" s="15">
        <f>D5+D10*D6</f>
        <v>9.7291666666666693E-2</v>
      </c>
      <c r="E11" s="15">
        <f>E5+E10*E6</f>
        <v>9.1875000000000012E-2</v>
      </c>
    </row>
    <row r="12" spans="2:5" ht="15" customHeight="1" x14ac:dyDescent="0.25">
      <c r="B12" s="12" t="s">
        <v>96</v>
      </c>
      <c r="C12" s="26">
        <v>6.5000000000000002E-2</v>
      </c>
      <c r="D12" s="26">
        <v>0.06</v>
      </c>
      <c r="E12" s="26">
        <v>5.5E-2</v>
      </c>
    </row>
    <row r="13" spans="2:5" ht="15" customHeight="1" x14ac:dyDescent="0.25">
      <c r="B13" s="10" t="s">
        <v>97</v>
      </c>
      <c r="C13" s="27">
        <v>0.25</v>
      </c>
      <c r="D13" s="27">
        <v>0.25</v>
      </c>
      <c r="E13" s="27">
        <v>0.25</v>
      </c>
    </row>
    <row r="14" spans="2:5" ht="15" customHeight="1" x14ac:dyDescent="0.25">
      <c r="B14" s="12" t="s">
        <v>98</v>
      </c>
      <c r="C14" s="16">
        <f>C12*(1-C13)</f>
        <v>4.8750000000000002E-2</v>
      </c>
      <c r="D14" s="16">
        <f>D12*(1-D13)</f>
        <v>4.4999999999999998E-2</v>
      </c>
      <c r="E14" s="16">
        <f>E12*(1-E13)</f>
        <v>4.1250000000000002E-2</v>
      </c>
    </row>
    <row r="15" spans="2:5" ht="15" customHeight="1" x14ac:dyDescent="0.25">
      <c r="B15" s="4" t="s">
        <v>99</v>
      </c>
      <c r="C15" s="34">
        <f>C11*C9+C14*C8</f>
        <v>7.0875000000000007E-2</v>
      </c>
      <c r="D15" s="34">
        <f>D11*D9+D14*D8</f>
        <v>6.8531250000000016E-2</v>
      </c>
      <c r="E15" s="34">
        <f>E11*E9+E14*E8</f>
        <v>6.6562500000000011E-2</v>
      </c>
    </row>
    <row r="17" spans="2:5" ht="15" customHeight="1" x14ac:dyDescent="0.25">
      <c r="B17" s="2" t="s">
        <v>100</v>
      </c>
      <c r="C17" s="3"/>
      <c r="D17" s="3"/>
      <c r="E17" s="3"/>
    </row>
    <row r="18" spans="2:5" ht="15" customHeight="1" x14ac:dyDescent="0.25">
      <c r="B18" s="25"/>
      <c r="C18" s="25" t="s">
        <v>88</v>
      </c>
      <c r="D18" s="25" t="s">
        <v>89</v>
      </c>
      <c r="E18" s="25" t="s">
        <v>90</v>
      </c>
    </row>
    <row r="19" spans="2:5" ht="15" customHeight="1" x14ac:dyDescent="0.25">
      <c r="B19" s="10" t="s">
        <v>66</v>
      </c>
      <c r="C19" s="35">
        <f>'2. Projections'!D24*(1/(1+C15)^1)</f>
        <v>826.42511964515006</v>
      </c>
      <c r="D19" s="35">
        <f>'2. Projections'!J24*(1/(1+D15)^1)</f>
        <v>1076.21936185769</v>
      </c>
      <c r="E19" s="35">
        <f>'2. Projections'!P24*(1/(1+E15)^1)</f>
        <v>1263.8832323469087</v>
      </c>
    </row>
    <row r="20" spans="2:5" ht="15" customHeight="1" x14ac:dyDescent="0.25">
      <c r="B20" s="12" t="s">
        <v>67</v>
      </c>
      <c r="C20" s="30">
        <f>'2. Projections'!E24*(1/(1+C15)^2)</f>
        <v>737.37163687639918</v>
      </c>
      <c r="D20" s="30">
        <f>'2. Projections'!K24*(1/(1+D15)^2)</f>
        <v>1007.1950276210362</v>
      </c>
      <c r="E20" s="30">
        <f>'2. Projections'!Q24*(1/(1+E15)^2)</f>
        <v>1361.2969021743354</v>
      </c>
    </row>
    <row r="21" spans="2:5" ht="15" customHeight="1" x14ac:dyDescent="0.25">
      <c r="B21" s="10" t="s">
        <v>68</v>
      </c>
      <c r="C21" s="35">
        <f>'2. Projections'!F24*(1/(1+C15)^3)</f>
        <v>824.08913777620421</v>
      </c>
      <c r="D21" s="35">
        <f>'2. Projections'!L24*(1/(1+D15)^3)</f>
        <v>1093.7631612902949</v>
      </c>
      <c r="E21" s="35">
        <f>'2. Projections'!R24*(1/(1+E15)^3)</f>
        <v>1366.1401150165245</v>
      </c>
    </row>
    <row r="22" spans="2:5" ht="15" customHeight="1" x14ac:dyDescent="0.25">
      <c r="B22" s="12" t="s">
        <v>69</v>
      </c>
      <c r="C22" s="30">
        <f>'2. Projections'!G24*(1/(1+C15)^4)</f>
        <v>761.0915819779724</v>
      </c>
      <c r="D22" s="30">
        <f>'2. Projections'!M24*(1/(1+D15)^4)</f>
        <v>1094.0721266222388</v>
      </c>
      <c r="E22" s="30">
        <f>'2. Projections'!S24*(1/(1+E15)^4)</f>
        <v>1457.0870870744884</v>
      </c>
    </row>
    <row r="23" spans="2:5" ht="15" customHeight="1" x14ac:dyDescent="0.25">
      <c r="B23" s="10" t="s">
        <v>70</v>
      </c>
      <c r="C23" s="35">
        <f>'2. Projections'!H24*(1/(1+C15)^5)</f>
        <v>767.39456693004138</v>
      </c>
      <c r="D23" s="35">
        <f>'2. Projections'!N24*(1/(1+D15)^5)</f>
        <v>1111.4513774698446</v>
      </c>
      <c r="E23" s="35">
        <f>'2. Projections'!T24*(1/(1+E15)^5)</f>
        <v>1456.0588952760222</v>
      </c>
    </row>
    <row r="24" spans="2:5" ht="15" customHeight="1" x14ac:dyDescent="0.25">
      <c r="B24" s="2" t="s">
        <v>102</v>
      </c>
      <c r="C24" s="3"/>
      <c r="D24" s="3"/>
      <c r="E24" s="3"/>
    </row>
    <row r="25" spans="2:5" ht="15" customHeight="1" x14ac:dyDescent="0.25">
      <c r="B25" s="4" t="s">
        <v>103</v>
      </c>
      <c r="C25" s="29">
        <f>SUM(C19:C23)</f>
        <v>3916.3720432057676</v>
      </c>
      <c r="D25" s="29">
        <f t="shared" ref="D25:E25" si="0">SUM(D19:D23)</f>
        <v>5382.7010548611042</v>
      </c>
      <c r="E25" s="29">
        <f t="shared" si="0"/>
        <v>6904.4662318882802</v>
      </c>
    </row>
    <row r="27" spans="2:5" ht="15" customHeight="1" x14ac:dyDescent="0.25">
      <c r="B27" s="2" t="s">
        <v>264</v>
      </c>
      <c r="C27" s="3"/>
      <c r="D27" s="3"/>
      <c r="E27" s="3"/>
    </row>
    <row r="28" spans="2:5" ht="15" customHeight="1" x14ac:dyDescent="0.25">
      <c r="B28" s="12" t="s">
        <v>104</v>
      </c>
      <c r="C28" s="24">
        <f>'2. Projections'!H24</f>
        <v>1080.7185840369918</v>
      </c>
      <c r="D28" s="24">
        <f>'2. Projections'!N24</f>
        <v>1548.1983782525601</v>
      </c>
      <c r="E28" s="24">
        <f>'2. Projections'!T24</f>
        <v>2009.6040238488763</v>
      </c>
    </row>
    <row r="29" spans="2:5" ht="15" customHeight="1" x14ac:dyDescent="0.25">
      <c r="B29" s="10" t="s">
        <v>105</v>
      </c>
      <c r="C29" s="27">
        <v>1.4999999999999999E-2</v>
      </c>
      <c r="D29" s="27">
        <v>1.4999999999999999E-2</v>
      </c>
      <c r="E29" s="27">
        <v>1.4999999999999999E-2</v>
      </c>
    </row>
    <row r="30" spans="2:5" ht="15" customHeight="1" x14ac:dyDescent="0.25">
      <c r="B30" s="12" t="s">
        <v>106</v>
      </c>
      <c r="C30" s="36">
        <f>C15</f>
        <v>7.0875000000000007E-2</v>
      </c>
      <c r="D30" s="36">
        <f>D15</f>
        <v>6.8531250000000016E-2</v>
      </c>
      <c r="E30" s="36">
        <f>E15</f>
        <v>6.6562500000000011E-2</v>
      </c>
    </row>
    <row r="31" spans="2:5" ht="15" customHeight="1" x14ac:dyDescent="0.25">
      <c r="B31" s="10" t="s">
        <v>107</v>
      </c>
      <c r="C31" s="35">
        <f>C28*(1+C29)/(C30-C29)</f>
        <v>19631.845419195462</v>
      </c>
      <c r="D31" s="35">
        <f>D28*(1+D29)/(D30-D29)</f>
        <v>29355.215017888575</v>
      </c>
      <c r="E31" s="35">
        <f>E28*(1+E29)/(E30-E29)</f>
        <v>39558.750724006961</v>
      </c>
    </row>
    <row r="32" spans="2:5" ht="15" customHeight="1" x14ac:dyDescent="0.25">
      <c r="B32" s="12" t="s">
        <v>225</v>
      </c>
      <c r="C32" s="37">
        <f>1/(1+C30)^COUNTA(B19:B23)</f>
        <v>0.71007807052180227</v>
      </c>
      <c r="D32" s="37">
        <f t="shared" ref="D32:E32" si="1">1/(1+D30)^COUNTA(C19:C23)</f>
        <v>0.71789984609358104</v>
      </c>
      <c r="E32" s="37">
        <f t="shared" si="1"/>
        <v>0.72455014918178673</v>
      </c>
    </row>
    <row r="33" spans="2:5" ht="15" customHeight="1" x14ac:dyDescent="0.25">
      <c r="B33" s="4" t="s">
        <v>108</v>
      </c>
      <c r="C33" s="29">
        <f>C31*C32</f>
        <v>13940.142916044597</v>
      </c>
      <c r="D33" s="29">
        <f>D31*D32</f>
        <v>21074.104343386185</v>
      </c>
      <c r="E33" s="29">
        <f>E31*E32</f>
        <v>28662.298738524358</v>
      </c>
    </row>
    <row r="35" spans="2:5" ht="15" customHeight="1" x14ac:dyDescent="0.25">
      <c r="B35" s="2" t="s">
        <v>109</v>
      </c>
      <c r="C35" s="3"/>
      <c r="D35" s="3"/>
      <c r="E35" s="3"/>
    </row>
    <row r="36" spans="2:5" ht="15" customHeight="1" x14ac:dyDescent="0.25">
      <c r="B36" s="12" t="s">
        <v>110</v>
      </c>
      <c r="C36" s="24">
        <f>C25</f>
        <v>3916.3720432057676</v>
      </c>
      <c r="D36" s="24">
        <f>D25</f>
        <v>5382.7010548611042</v>
      </c>
      <c r="E36" s="24">
        <f>E25</f>
        <v>6904.4662318882802</v>
      </c>
    </row>
    <row r="37" spans="2:5" ht="15" customHeight="1" x14ac:dyDescent="0.25">
      <c r="B37" s="10" t="s">
        <v>108</v>
      </c>
      <c r="C37" s="38">
        <f>C33</f>
        <v>13940.142916044597</v>
      </c>
      <c r="D37" s="38">
        <f>D33</f>
        <v>21074.104343386185</v>
      </c>
      <c r="E37" s="38">
        <f>E33</f>
        <v>28662.298738524358</v>
      </c>
    </row>
    <row r="38" spans="2:5" ht="15" customHeight="1" x14ac:dyDescent="0.25">
      <c r="B38" s="4" t="s">
        <v>109</v>
      </c>
      <c r="C38" s="39">
        <f>C36+C37</f>
        <v>17856.514959250366</v>
      </c>
      <c r="D38" s="39">
        <f>D36+D37</f>
        <v>26456.805398247288</v>
      </c>
      <c r="E38" s="39">
        <f>E36+E37</f>
        <v>35566.764970412638</v>
      </c>
    </row>
    <row r="39" spans="2:5" ht="15" customHeight="1" x14ac:dyDescent="0.25">
      <c r="B39" s="10" t="s">
        <v>111</v>
      </c>
      <c r="C39" s="40">
        <f>C38/3429</f>
        <v>5.2074992590406435</v>
      </c>
      <c r="D39" s="40">
        <f>D38/3429</f>
        <v>7.7156037906816239</v>
      </c>
      <c r="E39" s="40">
        <f>E38/3429</f>
        <v>10.372343240132002</v>
      </c>
    </row>
    <row r="40" spans="2:5" ht="15" customHeight="1" x14ac:dyDescent="0.25">
      <c r="B40" s="12" t="s">
        <v>112</v>
      </c>
      <c r="C40" s="16">
        <f>C37/C38</f>
        <v>0.78067545362893243</v>
      </c>
      <c r="D40" s="16">
        <f>D37/D38</f>
        <v>0.79654758109164248</v>
      </c>
      <c r="E40" s="16">
        <f>E37/E38</f>
        <v>0.80587308860864959</v>
      </c>
    </row>
    <row r="42" spans="2:5" ht="117" customHeight="1" x14ac:dyDescent="0.25">
      <c r="B42" s="105" t="s">
        <v>265</v>
      </c>
      <c r="C42" s="105"/>
      <c r="D42" s="105"/>
    </row>
  </sheetData>
  <mergeCells count="2">
    <mergeCell ref="B2:E2"/>
    <mergeCell ref="B42:D4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theme="3" tint="0.79998168889431442"/>
  </sheetPr>
  <dimension ref="B1:H25"/>
  <sheetViews>
    <sheetView showGridLines="0" zoomScaleNormal="100" workbookViewId="0">
      <selection activeCell="C16" sqref="C16"/>
    </sheetView>
  </sheetViews>
  <sheetFormatPr defaultColWidth="8.7109375" defaultRowHeight="15" x14ac:dyDescent="0.25"/>
  <cols>
    <col min="1" max="1" width="2.7109375" customWidth="1"/>
    <col min="2" max="2" width="34" customWidth="1"/>
    <col min="3" max="7" width="15.7109375" customWidth="1"/>
    <col min="8" max="8" width="34.5703125" bestFit="1" customWidth="1"/>
  </cols>
  <sheetData>
    <row r="1" spans="2:8" ht="9.9499999999999993" customHeight="1" x14ac:dyDescent="0.25"/>
    <row r="2" spans="2:8" ht="15" customHeight="1" x14ac:dyDescent="0.25">
      <c r="B2" s="104" t="s">
        <v>266</v>
      </c>
      <c r="C2" s="104"/>
      <c r="D2" s="104"/>
      <c r="E2" s="104"/>
      <c r="F2" s="104"/>
      <c r="G2" s="104"/>
      <c r="H2" s="104"/>
    </row>
    <row r="3" spans="2:8" ht="15" customHeight="1" x14ac:dyDescent="0.25">
      <c r="B3" s="1" t="s">
        <v>113</v>
      </c>
      <c r="C3" s="1" t="s">
        <v>101</v>
      </c>
      <c r="D3" s="1" t="s">
        <v>114</v>
      </c>
      <c r="E3" s="1" t="s">
        <v>115</v>
      </c>
      <c r="F3" s="1" t="s">
        <v>116</v>
      </c>
      <c r="G3" s="1" t="s">
        <v>117</v>
      </c>
      <c r="H3" s="1" t="s">
        <v>37</v>
      </c>
    </row>
    <row r="4" spans="2:8" ht="15" customHeight="1" x14ac:dyDescent="0.25">
      <c r="B4" s="2" t="s">
        <v>118</v>
      </c>
      <c r="C4" s="3"/>
      <c r="D4" s="3"/>
      <c r="E4" s="3"/>
      <c r="F4" s="3"/>
      <c r="G4" s="3"/>
      <c r="H4" s="3"/>
    </row>
    <row r="5" spans="2:8" ht="15" customHeight="1" x14ac:dyDescent="0.25">
      <c r="B5" s="10" t="s">
        <v>119</v>
      </c>
      <c r="C5" s="79">
        <v>2024</v>
      </c>
      <c r="D5" s="41">
        <v>15000</v>
      </c>
      <c r="E5" s="41">
        <v>5800</v>
      </c>
      <c r="F5" s="41">
        <v>1850</v>
      </c>
      <c r="G5" s="40">
        <f t="shared" ref="G5:G10" si="0">D5/F5</f>
        <v>8.1081081081081088</v>
      </c>
      <c r="H5" s="59" t="s">
        <v>120</v>
      </c>
    </row>
    <row r="6" spans="2:8" ht="15" customHeight="1" x14ac:dyDescent="0.25">
      <c r="B6" s="12" t="s">
        <v>267</v>
      </c>
      <c r="C6" s="80">
        <v>2023</v>
      </c>
      <c r="D6" s="42">
        <v>18600</v>
      </c>
      <c r="E6" s="42">
        <v>6700</v>
      </c>
      <c r="F6" s="42">
        <v>2200</v>
      </c>
      <c r="G6" s="43">
        <f t="shared" si="0"/>
        <v>8.454545454545455</v>
      </c>
      <c r="H6" s="60" t="s">
        <v>121</v>
      </c>
    </row>
    <row r="7" spans="2:8" ht="15" customHeight="1" x14ac:dyDescent="0.25">
      <c r="B7" s="10" t="s">
        <v>268</v>
      </c>
      <c r="C7" s="79">
        <v>2023</v>
      </c>
      <c r="D7" s="41">
        <v>1150</v>
      </c>
      <c r="E7" s="41">
        <v>420</v>
      </c>
      <c r="F7" s="41">
        <v>130</v>
      </c>
      <c r="G7" s="40">
        <f t="shared" si="0"/>
        <v>8.8461538461538467</v>
      </c>
      <c r="H7" s="59" t="s">
        <v>122</v>
      </c>
    </row>
    <row r="8" spans="2:8" ht="15" customHeight="1" x14ac:dyDescent="0.25">
      <c r="B8" s="12" t="s">
        <v>123</v>
      </c>
      <c r="C8" s="80">
        <v>2022</v>
      </c>
      <c r="D8" s="42">
        <v>17500</v>
      </c>
      <c r="E8" s="42">
        <v>620</v>
      </c>
      <c r="F8" s="42">
        <v>430</v>
      </c>
      <c r="G8" s="43">
        <f t="shared" si="0"/>
        <v>40.697674418604649</v>
      </c>
      <c r="H8" s="60" t="s">
        <v>124</v>
      </c>
    </row>
    <row r="9" spans="2:8" ht="15" customHeight="1" x14ac:dyDescent="0.25">
      <c r="B9" s="10" t="s">
        <v>125</v>
      </c>
      <c r="C9" s="79">
        <v>2020</v>
      </c>
      <c r="D9" s="41">
        <v>4000</v>
      </c>
      <c r="E9" s="41">
        <v>1050</v>
      </c>
      <c r="F9" s="41">
        <v>340</v>
      </c>
      <c r="G9" s="40">
        <f t="shared" si="0"/>
        <v>11.764705882352942</v>
      </c>
      <c r="H9" s="59" t="s">
        <v>126</v>
      </c>
    </row>
    <row r="10" spans="2:8" ht="15" customHeight="1" x14ac:dyDescent="0.25">
      <c r="B10" s="8" t="s">
        <v>127</v>
      </c>
      <c r="C10" s="81">
        <v>2014</v>
      </c>
      <c r="D10" s="44">
        <v>17000</v>
      </c>
      <c r="E10" s="44">
        <v>10600</v>
      </c>
      <c r="F10" s="44">
        <v>3600</v>
      </c>
      <c r="G10" s="45">
        <f t="shared" si="0"/>
        <v>4.7222222222222223</v>
      </c>
      <c r="H10" s="75" t="s">
        <v>269</v>
      </c>
    </row>
    <row r="11" spans="2:8" ht="36" x14ac:dyDescent="0.25">
      <c r="B11" s="73" t="s">
        <v>270</v>
      </c>
    </row>
    <row r="12" spans="2:8" x14ac:dyDescent="0.25">
      <c r="B12" s="73"/>
    </row>
    <row r="13" spans="2:8" ht="15" customHeight="1" x14ac:dyDescent="0.25">
      <c r="B13" s="2" t="s">
        <v>128</v>
      </c>
      <c r="C13" s="3"/>
    </row>
    <row r="14" spans="2:8" ht="15" customHeight="1" x14ac:dyDescent="0.25">
      <c r="B14" s="4" t="s">
        <v>129</v>
      </c>
      <c r="C14" s="46">
        <f>MEDIAN(G5:G9)</f>
        <v>8.8461538461538467</v>
      </c>
    </row>
    <row r="15" spans="2:8" ht="15" customHeight="1" x14ac:dyDescent="0.25">
      <c r="B15" s="12" t="s">
        <v>130</v>
      </c>
      <c r="C15" s="43">
        <f>AVERAGE(G5:G9)</f>
        <v>15.574237541953002</v>
      </c>
    </row>
    <row r="16" spans="2:8" ht="15" customHeight="1" x14ac:dyDescent="0.25">
      <c r="B16" s="10" t="s">
        <v>131</v>
      </c>
      <c r="C16" s="40">
        <f>QUARTILE(G5:G9,1)</f>
        <v>8.454545454545455</v>
      </c>
    </row>
    <row r="17" spans="2:8" ht="15" customHeight="1" x14ac:dyDescent="0.25">
      <c r="B17" s="12" t="s">
        <v>132</v>
      </c>
      <c r="C17" s="43">
        <f>QUARTILE(G5:G9,3)</f>
        <v>11.764705882352942</v>
      </c>
    </row>
    <row r="19" spans="2:8" ht="15" customHeight="1" x14ac:dyDescent="0.25">
      <c r="B19" s="2" t="s">
        <v>133</v>
      </c>
      <c r="C19" s="3"/>
      <c r="D19" s="3"/>
      <c r="E19" s="3"/>
      <c r="F19" s="3"/>
      <c r="G19" s="3"/>
      <c r="H19" s="3"/>
    </row>
    <row r="20" spans="2:8" ht="15" customHeight="1" x14ac:dyDescent="0.25">
      <c r="B20" s="25" t="s">
        <v>134</v>
      </c>
      <c r="C20" s="25" t="s">
        <v>135</v>
      </c>
      <c r="D20" s="25" t="s">
        <v>136</v>
      </c>
      <c r="E20" s="25"/>
      <c r="F20" s="25"/>
      <c r="G20" s="25"/>
      <c r="H20" s="25" t="s">
        <v>137</v>
      </c>
    </row>
    <row r="21" spans="2:8" ht="15" customHeight="1" x14ac:dyDescent="0.25">
      <c r="B21" s="6" t="s">
        <v>271</v>
      </c>
      <c r="C21" s="47">
        <f>C16</f>
        <v>8.454545454545455</v>
      </c>
      <c r="D21" s="48">
        <f>C21*3429</f>
        <v>28990.636363636364</v>
      </c>
      <c r="E21" s="115"/>
      <c r="F21" s="115"/>
      <c r="G21" s="115"/>
      <c r="H21" s="62" t="s">
        <v>272</v>
      </c>
    </row>
    <row r="22" spans="2:8" ht="15" customHeight="1" x14ac:dyDescent="0.25">
      <c r="B22" s="4" t="s">
        <v>273</v>
      </c>
      <c r="C22" s="49">
        <f>C14</f>
        <v>8.8461538461538467</v>
      </c>
      <c r="D22" s="50">
        <f>C22*3429</f>
        <v>30333.461538461539</v>
      </c>
      <c r="E22" s="116"/>
      <c r="F22" s="116"/>
      <c r="G22" s="116"/>
      <c r="H22" s="61" t="s">
        <v>138</v>
      </c>
    </row>
    <row r="23" spans="2:8" ht="15" customHeight="1" x14ac:dyDescent="0.25">
      <c r="B23" s="6" t="s">
        <v>274</v>
      </c>
      <c r="C23" s="47">
        <f>C17</f>
        <v>11.764705882352942</v>
      </c>
      <c r="D23" s="48">
        <f>C23*3429</f>
        <v>40341.176470588238</v>
      </c>
      <c r="E23" s="116"/>
      <c r="F23" s="116"/>
      <c r="G23" s="116"/>
      <c r="H23" s="62" t="s">
        <v>275</v>
      </c>
    </row>
    <row r="24" spans="2:8" ht="15" customHeight="1" x14ac:dyDescent="0.25">
      <c r="B24" s="8" t="s">
        <v>139</v>
      </c>
      <c r="C24" s="45">
        <f>20000/3429</f>
        <v>5.8326042578011084</v>
      </c>
      <c r="D24" s="51">
        <f>C24*3429</f>
        <v>20000</v>
      </c>
      <c r="E24" s="116"/>
      <c r="F24" s="116"/>
      <c r="G24" s="116"/>
      <c r="H24" s="75" t="s">
        <v>140</v>
      </c>
    </row>
    <row r="25" spans="2:8" ht="15" customHeight="1" x14ac:dyDescent="0.25">
      <c r="B25" s="8" t="s">
        <v>141</v>
      </c>
      <c r="C25" s="52">
        <v>7</v>
      </c>
      <c r="D25" s="51">
        <f>C25*3429</f>
        <v>24003</v>
      </c>
      <c r="E25" s="116"/>
      <c r="F25" s="116"/>
      <c r="G25" s="116"/>
      <c r="H25" s="75" t="s">
        <v>142</v>
      </c>
    </row>
  </sheetData>
  <mergeCells count="2">
    <mergeCell ref="B2:H2"/>
    <mergeCell ref="E21:G25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tabColor theme="3" tint="0.79998168889431442"/>
  </sheetPr>
  <dimension ref="B1:F28"/>
  <sheetViews>
    <sheetView showGridLines="0" topLeftCell="B1" zoomScaleNormal="100" workbookViewId="0">
      <selection activeCell="D7" sqref="D7"/>
    </sheetView>
  </sheetViews>
  <sheetFormatPr defaultColWidth="8.7109375" defaultRowHeight="15" x14ac:dyDescent="0.25"/>
  <cols>
    <col min="1" max="1" width="3" customWidth="1"/>
    <col min="2" max="2" width="69.7109375" bestFit="1" customWidth="1"/>
    <col min="3" max="5" width="16" customWidth="1"/>
    <col min="6" max="6" width="43.5703125" bestFit="1" customWidth="1"/>
  </cols>
  <sheetData>
    <row r="1" spans="2:6" ht="9.9499999999999993" customHeight="1" x14ac:dyDescent="0.25"/>
    <row r="2" spans="2:6" ht="15" customHeight="1" x14ac:dyDescent="0.25">
      <c r="B2" s="104" t="s">
        <v>143</v>
      </c>
      <c r="C2" s="104"/>
      <c r="D2" s="104"/>
      <c r="E2" s="104"/>
      <c r="F2" s="104"/>
    </row>
    <row r="3" spans="2:6" ht="15" customHeight="1" x14ac:dyDescent="0.25">
      <c r="B3" s="1"/>
      <c r="C3" s="1" t="s">
        <v>88</v>
      </c>
      <c r="D3" s="1" t="s">
        <v>89</v>
      </c>
      <c r="E3" s="1" t="s">
        <v>90</v>
      </c>
      <c r="F3" s="1" t="s">
        <v>144</v>
      </c>
    </row>
    <row r="4" spans="2:6" ht="15" customHeight="1" x14ac:dyDescent="0.25">
      <c r="B4" s="2" t="s">
        <v>145</v>
      </c>
      <c r="C4" s="3"/>
      <c r="D4" s="3"/>
      <c r="E4" s="3"/>
      <c r="F4" s="3"/>
    </row>
    <row r="5" spans="2:6" ht="15" customHeight="1" x14ac:dyDescent="0.25">
      <c r="B5" s="10" t="s">
        <v>146</v>
      </c>
      <c r="C5" s="38">
        <f>'3. DCF'!C38</f>
        <v>17856.514959250366</v>
      </c>
      <c r="D5" s="38">
        <f>'3. DCF'!D38</f>
        <v>26456.805398247288</v>
      </c>
      <c r="E5" s="38">
        <f>'3. DCF'!E38</f>
        <v>35566.764970412638</v>
      </c>
      <c r="F5" s="59" t="s">
        <v>147</v>
      </c>
    </row>
    <row r="6" spans="2:6" ht="15" customHeight="1" x14ac:dyDescent="0.25">
      <c r="B6" s="12" t="s">
        <v>276</v>
      </c>
      <c r="C6" s="24">
        <f>'4. Multiples'!D22</f>
        <v>30333.461538461539</v>
      </c>
      <c r="D6" s="24">
        <f>'4. Multiples'!D22</f>
        <v>30333.461538461539</v>
      </c>
      <c r="E6" s="24">
        <f>'4. Multiples'!D22</f>
        <v>30333.461538461539</v>
      </c>
      <c r="F6" s="60" t="s">
        <v>148</v>
      </c>
    </row>
    <row r="7" spans="2:6" ht="15" customHeight="1" x14ac:dyDescent="0.25">
      <c r="B7" s="4" t="s">
        <v>149</v>
      </c>
      <c r="C7" s="23">
        <f>AVERAGE(C5,C6)</f>
        <v>24094.988248855952</v>
      </c>
      <c r="D7" s="23">
        <f>AVERAGE(D5,D6)</f>
        <v>28395.133468354412</v>
      </c>
      <c r="E7" s="23">
        <f>AVERAGE(E5,E6)</f>
        <v>32950.113254437092</v>
      </c>
      <c r="F7" s="61" t="s">
        <v>150</v>
      </c>
    </row>
    <row r="8" spans="2:6" ht="15" customHeight="1" x14ac:dyDescent="0.25">
      <c r="B8" s="6" t="s">
        <v>111</v>
      </c>
      <c r="C8" s="47">
        <f>C7/'1. Historique'!$E$11</f>
        <v>7.0268265525972451</v>
      </c>
      <c r="D8" s="47">
        <f>D7/'1. Historique'!$E$11</f>
        <v>8.2808788184177349</v>
      </c>
      <c r="E8" s="47">
        <f>E7/'1. Historique'!$E$11</f>
        <v>9.6092485431429253</v>
      </c>
      <c r="F8" s="62"/>
    </row>
    <row r="9" spans="2:6" x14ac:dyDescent="0.25">
      <c r="F9" s="63"/>
    </row>
    <row r="10" spans="2:6" ht="15" customHeight="1" x14ac:dyDescent="0.25">
      <c r="B10" s="2" t="s">
        <v>277</v>
      </c>
      <c r="C10" s="3"/>
      <c r="D10" s="3"/>
      <c r="E10" s="3"/>
      <c r="F10" s="64"/>
    </row>
    <row r="11" spans="2:6" ht="15" customHeight="1" x14ac:dyDescent="0.25">
      <c r="B11" s="10" t="s">
        <v>151</v>
      </c>
      <c r="C11" s="28">
        <v>-15500</v>
      </c>
      <c r="D11" s="28">
        <v>-15500</v>
      </c>
      <c r="E11" s="28">
        <v>-15500</v>
      </c>
      <c r="F11" s="59" t="s">
        <v>278</v>
      </c>
    </row>
    <row r="12" spans="2:6" ht="15" customHeight="1" x14ac:dyDescent="0.25">
      <c r="B12" s="12" t="s">
        <v>279</v>
      </c>
      <c r="C12" s="53">
        <v>-3200</v>
      </c>
      <c r="D12" s="53">
        <v>-3200</v>
      </c>
      <c r="E12" s="53">
        <v>-3200</v>
      </c>
      <c r="F12" s="60" t="s">
        <v>280</v>
      </c>
    </row>
    <row r="13" spans="2:6" ht="15" customHeight="1" x14ac:dyDescent="0.25">
      <c r="B13" s="10" t="s">
        <v>152</v>
      </c>
      <c r="C13" s="28">
        <v>-500</v>
      </c>
      <c r="D13" s="28">
        <v>-500</v>
      </c>
      <c r="E13" s="28">
        <v>-500</v>
      </c>
      <c r="F13" s="59" t="s">
        <v>281</v>
      </c>
    </row>
    <row r="14" spans="2:6" ht="15" customHeight="1" x14ac:dyDescent="0.25">
      <c r="B14" s="12" t="s">
        <v>153</v>
      </c>
      <c r="C14" s="53">
        <v>-150</v>
      </c>
      <c r="D14" s="53">
        <v>-150</v>
      </c>
      <c r="E14" s="53">
        <v>-150</v>
      </c>
      <c r="F14" s="60" t="s">
        <v>282</v>
      </c>
    </row>
    <row r="15" spans="2:6" ht="15" customHeight="1" x14ac:dyDescent="0.25">
      <c r="B15" s="10" t="s">
        <v>154</v>
      </c>
      <c r="C15" s="28">
        <f>'A. Sources comptables'!$E$31</f>
        <v>2867.1</v>
      </c>
      <c r="D15" s="28">
        <f>'A. Sources comptables'!$E$31</f>
        <v>2867.1</v>
      </c>
      <c r="E15" s="28">
        <f>'A. Sources comptables'!$E$31</f>
        <v>2867.1</v>
      </c>
      <c r="F15" s="59" t="s">
        <v>283</v>
      </c>
    </row>
    <row r="16" spans="2:6" ht="15" customHeight="1" x14ac:dyDescent="0.25">
      <c r="B16" s="54" t="s">
        <v>155</v>
      </c>
      <c r="C16" s="55">
        <f>SUM(C11:C15)</f>
        <v>-16482.900000000001</v>
      </c>
      <c r="D16" s="55">
        <f>SUM(D11:D15)</f>
        <v>-16482.900000000001</v>
      </c>
      <c r="E16" s="55">
        <f>SUM(E11:E15)</f>
        <v>-16482.900000000001</v>
      </c>
      <c r="F16" s="63"/>
    </row>
    <row r="17" spans="2:6" x14ac:dyDescent="0.25">
      <c r="F17" s="63"/>
    </row>
    <row r="18" spans="2:6" ht="15" customHeight="1" x14ac:dyDescent="0.25">
      <c r="B18" s="2" t="s">
        <v>156</v>
      </c>
      <c r="C18" s="3"/>
      <c r="D18" s="3"/>
      <c r="E18" s="3"/>
      <c r="F18" s="64"/>
    </row>
    <row r="19" spans="2:6" ht="15" customHeight="1" x14ac:dyDescent="0.25">
      <c r="B19" s="4" t="s">
        <v>157</v>
      </c>
      <c r="C19" s="39">
        <f>C7+C16</f>
        <v>7612.088248855951</v>
      </c>
      <c r="D19" s="39">
        <f>D7+D16</f>
        <v>11912.23346835441</v>
      </c>
      <c r="E19" s="39">
        <f>E7+E16</f>
        <v>16467.213254437091</v>
      </c>
      <c r="F19" s="63"/>
    </row>
    <row r="20" spans="2:6" x14ac:dyDescent="0.25">
      <c r="F20" s="63"/>
    </row>
    <row r="21" spans="2:6" ht="15" customHeight="1" x14ac:dyDescent="0.25">
      <c r="B21" s="2" t="s">
        <v>158</v>
      </c>
      <c r="C21" s="3"/>
      <c r="D21" s="3"/>
      <c r="E21" s="3"/>
      <c r="F21" s="64"/>
    </row>
    <row r="22" spans="2:6" ht="15" customHeight="1" x14ac:dyDescent="0.25">
      <c r="B22" s="12" t="s">
        <v>159</v>
      </c>
      <c r="C22" s="53">
        <v>20000</v>
      </c>
      <c r="D22" s="53">
        <v>20000</v>
      </c>
      <c r="E22" s="53">
        <v>20000</v>
      </c>
      <c r="F22" s="60" t="s">
        <v>284</v>
      </c>
    </row>
    <row r="23" spans="2:6" ht="15" customHeight="1" x14ac:dyDescent="0.25">
      <c r="B23" s="10" t="s">
        <v>285</v>
      </c>
      <c r="C23" s="28">
        <v>23003</v>
      </c>
      <c r="D23" s="28">
        <v>23003</v>
      </c>
      <c r="E23" s="28">
        <v>23003</v>
      </c>
      <c r="F23" s="65" t="s">
        <v>160</v>
      </c>
    </row>
    <row r="24" spans="2:6" ht="15" customHeight="1" x14ac:dyDescent="0.25">
      <c r="B24" s="12" t="s">
        <v>161</v>
      </c>
      <c r="C24" s="16">
        <f>(C22-C7)/C7</f>
        <v>-0.16995186744074819</v>
      </c>
      <c r="D24" s="16">
        <f>(C22-D7)/D7</f>
        <v>-0.29565395343925943</v>
      </c>
      <c r="E24" s="16">
        <f>(C22-E7)/E7</f>
        <v>-0.39302181314029982</v>
      </c>
      <c r="F24" s="66" t="s">
        <v>162</v>
      </c>
    </row>
    <row r="25" spans="2:6" ht="15" customHeight="1" x14ac:dyDescent="0.25">
      <c r="B25" s="10" t="s">
        <v>163</v>
      </c>
      <c r="C25" s="40">
        <f>C22/'1. Historique'!$E$11</f>
        <v>5.8326042578011084</v>
      </c>
      <c r="D25" s="40">
        <f>D22/'1. Historique'!$E$11</f>
        <v>5.8326042578011084</v>
      </c>
      <c r="E25" s="40">
        <f>E22/'1. Historique'!$E$11</f>
        <v>5.8326042578011084</v>
      </c>
      <c r="F25" s="65" t="s">
        <v>164</v>
      </c>
    </row>
    <row r="26" spans="2:6" ht="15" customHeight="1" x14ac:dyDescent="0.25">
      <c r="B26" s="12" t="s">
        <v>165</v>
      </c>
      <c r="C26" s="16">
        <f>(C23-C22)/C22</f>
        <v>0.15015000000000001</v>
      </c>
      <c r="D26" s="16">
        <f>(C23-C22)/C22</f>
        <v>0.15015000000000001</v>
      </c>
      <c r="E26" s="16">
        <f>(C23-C22)/C22</f>
        <v>0.15015000000000001</v>
      </c>
      <c r="F26" s="66" t="s">
        <v>166</v>
      </c>
    </row>
    <row r="28" spans="2:6" ht="60" customHeight="1" x14ac:dyDescent="0.25">
      <c r="B28" s="73" t="s">
        <v>286</v>
      </c>
    </row>
  </sheetData>
  <mergeCells count="1">
    <mergeCell ref="B2:F2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>
    <tabColor rgb="FF7030A0"/>
  </sheetPr>
  <dimension ref="B1:F28"/>
  <sheetViews>
    <sheetView showGridLines="0" zoomScaleNormal="100" workbookViewId="0">
      <pane ySplit="2" topLeftCell="A3" activePane="bottomLeft" state="frozen"/>
      <selection pane="bottomLeft" activeCell="I12" sqref="I12"/>
    </sheetView>
  </sheetViews>
  <sheetFormatPr defaultColWidth="8.7109375" defaultRowHeight="15" x14ac:dyDescent="0.25"/>
  <cols>
    <col min="1" max="1" width="3" customWidth="1"/>
    <col min="2" max="2" width="36" customWidth="1"/>
    <col min="3" max="5" width="16.28515625" customWidth="1"/>
    <col min="6" max="6" width="39.5703125" bestFit="1" customWidth="1"/>
  </cols>
  <sheetData>
    <row r="1" spans="2:6" ht="9.9499999999999993" customHeight="1" x14ac:dyDescent="0.25"/>
    <row r="2" spans="2:6" ht="15" customHeight="1" x14ac:dyDescent="0.25">
      <c r="B2" s="104" t="s">
        <v>287</v>
      </c>
      <c r="C2" s="104"/>
      <c r="D2" s="104"/>
      <c r="E2" s="104"/>
      <c r="F2" s="104"/>
    </row>
    <row r="3" spans="2:6" ht="15" customHeight="1" x14ac:dyDescent="0.25">
      <c r="B3" s="1" t="s">
        <v>167</v>
      </c>
      <c r="C3" s="1" t="s">
        <v>88</v>
      </c>
      <c r="D3" s="1" t="s">
        <v>89</v>
      </c>
      <c r="E3" s="1" t="s">
        <v>90</v>
      </c>
      <c r="F3" s="1" t="s">
        <v>137</v>
      </c>
    </row>
    <row r="4" spans="2:6" ht="15" customHeight="1" x14ac:dyDescent="0.25">
      <c r="B4" s="2" t="s">
        <v>168</v>
      </c>
      <c r="C4" s="3"/>
      <c r="D4" s="3"/>
      <c r="E4" s="3"/>
      <c r="F4" s="3"/>
    </row>
    <row r="5" spans="2:6" ht="15" customHeight="1" x14ac:dyDescent="0.25">
      <c r="B5" s="10" t="s">
        <v>169</v>
      </c>
      <c r="C5" s="56">
        <f>'3. DCF'!C38</f>
        <v>17856.514959250366</v>
      </c>
      <c r="D5" s="56">
        <f>'3. DCF'!D38</f>
        <v>26456.805398247288</v>
      </c>
      <c r="E5" s="56">
        <f>'3. DCF'!E38</f>
        <v>35566.764970412638</v>
      </c>
      <c r="F5" s="59" t="s">
        <v>170</v>
      </c>
    </row>
    <row r="6" spans="2:6" ht="15" customHeight="1" x14ac:dyDescent="0.25">
      <c r="B6" s="12" t="s">
        <v>171</v>
      </c>
      <c r="C6" s="57">
        <f>'4. Multiples'!D21</f>
        <v>28990.636363636364</v>
      </c>
      <c r="D6" s="57">
        <f>'4. Multiples'!D22</f>
        <v>30333.461538461539</v>
      </c>
      <c r="E6" s="57">
        <f>'4. Multiples'!D23</f>
        <v>40341.176470588238</v>
      </c>
      <c r="F6" s="60" t="s">
        <v>172</v>
      </c>
    </row>
    <row r="7" spans="2:6" ht="15" customHeight="1" x14ac:dyDescent="0.25">
      <c r="B7" s="4" t="s">
        <v>173</v>
      </c>
      <c r="C7" s="58">
        <f>'5. Bridge EV→Equity'!C7</f>
        <v>24094.988248855952</v>
      </c>
      <c r="D7" s="58">
        <f>'5. Bridge EV→Equity'!D7</f>
        <v>28395.133468354412</v>
      </c>
      <c r="E7" s="58">
        <f>'5. Bridge EV→Equity'!E7</f>
        <v>32950.113254437092</v>
      </c>
      <c r="F7" s="61" t="s">
        <v>174</v>
      </c>
    </row>
    <row r="8" spans="2:6" ht="15" customHeight="1" x14ac:dyDescent="0.25">
      <c r="B8" s="12" t="s">
        <v>139</v>
      </c>
      <c r="C8" s="57">
        <f>'5. Bridge EV→Equity'!C22</f>
        <v>20000</v>
      </c>
      <c r="D8" s="57">
        <f>'5. Bridge EV→Equity'!D22</f>
        <v>20000</v>
      </c>
      <c r="E8" s="57">
        <f>'5. Bridge EV→Equity'!E22</f>
        <v>20000</v>
      </c>
      <c r="F8" s="60" t="s">
        <v>288</v>
      </c>
    </row>
    <row r="9" spans="2:6" ht="15" customHeight="1" x14ac:dyDescent="0.25">
      <c r="B9" s="10" t="s">
        <v>289</v>
      </c>
      <c r="C9" s="56">
        <f>'5. Bridge EV→Equity'!C23</f>
        <v>23003</v>
      </c>
      <c r="D9" s="56">
        <f>'5. Bridge EV→Equity'!D23</f>
        <v>23003</v>
      </c>
      <c r="E9" s="56">
        <f>'5. Bridge EV→Equity'!E23</f>
        <v>23003</v>
      </c>
      <c r="F9" s="59" t="s">
        <v>175</v>
      </c>
    </row>
    <row r="10" spans="2:6" ht="15" customHeight="1" x14ac:dyDescent="0.25"/>
    <row r="11" spans="2:6" x14ac:dyDescent="0.25">
      <c r="F11" s="63"/>
    </row>
    <row r="12" spans="2:6" ht="15" customHeight="1" x14ac:dyDescent="0.25">
      <c r="B12" s="2" t="s">
        <v>176</v>
      </c>
      <c r="C12" s="3"/>
      <c r="D12" s="3"/>
      <c r="E12" s="3"/>
      <c r="F12" s="64"/>
    </row>
    <row r="13" spans="2:6" ht="15" customHeight="1" x14ac:dyDescent="0.25">
      <c r="B13" s="12" t="s">
        <v>177</v>
      </c>
      <c r="C13" s="43">
        <f>'5. Bridge EV→Equity'!C22/'1. Historique'!E11</f>
        <v>5.8326042578011084</v>
      </c>
      <c r="D13" s="83"/>
      <c r="E13" s="83"/>
      <c r="F13" s="60" t="s">
        <v>178</v>
      </c>
    </row>
    <row r="14" spans="2:6" ht="15" customHeight="1" x14ac:dyDescent="0.25">
      <c r="B14" s="10" t="s">
        <v>179</v>
      </c>
      <c r="C14" s="15">
        <f>('5. Bridge EV→Equity'!C22-'3. DCF'!C38)/'3. DCF'!C38</f>
        <v>0.12003938314061816</v>
      </c>
      <c r="D14" s="83"/>
      <c r="E14" s="83"/>
      <c r="F14" s="59"/>
    </row>
    <row r="15" spans="2:6" ht="15" customHeight="1" x14ac:dyDescent="0.25">
      <c r="B15" s="12" t="s">
        <v>180</v>
      </c>
      <c r="C15" s="16">
        <f>('5. Bridge EV→Equity'!C22-'3. DCF'!D38)/'3. DCF'!D38</f>
        <v>-0.24405083308641032</v>
      </c>
      <c r="D15" s="83"/>
      <c r="E15" s="83"/>
      <c r="F15" s="60"/>
    </row>
    <row r="16" spans="2:6" ht="15" customHeight="1" x14ac:dyDescent="0.25">
      <c r="B16" s="10" t="s">
        <v>181</v>
      </c>
      <c r="C16" s="15">
        <f>('5. Bridge EV→Equity'!C22-'3. DCF'!E38)/'3. DCF'!E38</f>
        <v>-0.43767728055566352</v>
      </c>
      <c r="D16" s="83"/>
      <c r="E16" s="83"/>
      <c r="F16" s="59"/>
    </row>
    <row r="17" spans="2:6" ht="15" customHeight="1" x14ac:dyDescent="0.25">
      <c r="B17" s="12" t="s">
        <v>182</v>
      </c>
      <c r="C17" s="31">
        <f>'5. Bridge EV→Equity'!C23-'5. Bridge EV→Equity'!C22</f>
        <v>3003</v>
      </c>
      <c r="D17" s="83"/>
      <c r="E17" s="83"/>
      <c r="F17" s="60" t="s">
        <v>183</v>
      </c>
    </row>
    <row r="18" spans="2:6" ht="15" customHeight="1" x14ac:dyDescent="0.25">
      <c r="B18" s="12"/>
      <c r="C18" s="31"/>
      <c r="F18" s="60"/>
    </row>
    <row r="20" spans="2:6" ht="15" customHeight="1" x14ac:dyDescent="0.25">
      <c r="B20" s="2" t="s">
        <v>184</v>
      </c>
      <c r="C20" s="3"/>
      <c r="D20" s="3"/>
      <c r="E20" s="3"/>
      <c r="F20" s="3"/>
    </row>
    <row r="21" spans="2:6" ht="30" customHeight="1" x14ac:dyDescent="0.25">
      <c r="B21" s="118" t="s">
        <v>185</v>
      </c>
      <c r="C21" s="118"/>
      <c r="D21" s="118"/>
      <c r="E21" s="118"/>
      <c r="F21" s="118"/>
    </row>
    <row r="22" spans="2:6" ht="30" customHeight="1" x14ac:dyDescent="0.25">
      <c r="B22" s="118" t="s">
        <v>186</v>
      </c>
      <c r="C22" s="118"/>
      <c r="D22" s="118"/>
      <c r="E22" s="118"/>
      <c r="F22" s="118"/>
    </row>
    <row r="23" spans="2:6" ht="30" customHeight="1" x14ac:dyDescent="0.25">
      <c r="B23" s="118" t="s">
        <v>290</v>
      </c>
      <c r="C23" s="118"/>
      <c r="D23" s="118"/>
      <c r="E23" s="118"/>
      <c r="F23" s="118"/>
    </row>
    <row r="24" spans="2:6" ht="30" customHeight="1" x14ac:dyDescent="0.25">
      <c r="B24" s="118" t="s">
        <v>187</v>
      </c>
      <c r="C24" s="118"/>
      <c r="D24" s="118"/>
      <c r="E24" s="118"/>
      <c r="F24" s="118"/>
    </row>
    <row r="25" spans="2:6" ht="30" customHeight="1" x14ac:dyDescent="0.25">
      <c r="B25" s="117" t="s">
        <v>188</v>
      </c>
      <c r="C25" s="117"/>
      <c r="D25" s="117"/>
      <c r="E25" s="117"/>
      <c r="F25" s="117"/>
    </row>
    <row r="26" spans="2:6" ht="30" customHeight="1" x14ac:dyDescent="0.25">
      <c r="B26" s="118" t="s">
        <v>291</v>
      </c>
      <c r="C26" s="118"/>
      <c r="D26" s="118"/>
      <c r="E26" s="118"/>
      <c r="F26" s="118"/>
    </row>
    <row r="28" spans="2:6" ht="52.5" customHeight="1" x14ac:dyDescent="0.25">
      <c r="B28" s="105" t="s">
        <v>292</v>
      </c>
      <c r="C28" s="105"/>
      <c r="D28" s="105"/>
      <c r="E28" s="105"/>
    </row>
  </sheetData>
  <mergeCells count="8">
    <mergeCell ref="B28:E28"/>
    <mergeCell ref="B25:F25"/>
    <mergeCell ref="B26:F26"/>
    <mergeCell ref="B2:F2"/>
    <mergeCell ref="B21:F21"/>
    <mergeCell ref="B22:F22"/>
    <mergeCell ref="B23:F23"/>
    <mergeCell ref="B24:F24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F3480-2F5E-4238-846C-964CFBFEC0DE}">
  <sheetPr codeName="Sheet9">
    <tabColor rgb="FF00B0F0"/>
  </sheetPr>
  <dimension ref="B2:G17"/>
  <sheetViews>
    <sheetView showGridLines="0" workbookViewId="0">
      <selection activeCell="C19" sqref="C19"/>
    </sheetView>
  </sheetViews>
  <sheetFormatPr defaultRowHeight="15" x14ac:dyDescent="0.25"/>
  <cols>
    <col min="2" max="2" width="25.5703125" customWidth="1"/>
    <col min="3" max="7" width="11.85546875" customWidth="1"/>
  </cols>
  <sheetData>
    <row r="2" spans="2:7" x14ac:dyDescent="0.25">
      <c r="B2" s="94" t="s">
        <v>226</v>
      </c>
      <c r="C2" s="95" t="s">
        <v>227</v>
      </c>
      <c r="D2" s="95" t="s">
        <v>228</v>
      </c>
      <c r="E2" s="95" t="s">
        <v>229</v>
      </c>
      <c r="F2" s="95" t="s">
        <v>230</v>
      </c>
      <c r="G2" s="95" t="s">
        <v>231</v>
      </c>
    </row>
    <row r="3" spans="2:7" x14ac:dyDescent="0.25">
      <c r="B3" s="96" t="s">
        <v>71</v>
      </c>
      <c r="C3" s="97">
        <v>-0.05</v>
      </c>
      <c r="D3" s="97">
        <v>-0.04</v>
      </c>
      <c r="E3" s="97">
        <v>-0.02</v>
      </c>
      <c r="F3" s="97">
        <v>-0.01</v>
      </c>
      <c r="G3" s="97">
        <v>-0.01</v>
      </c>
    </row>
    <row r="4" spans="2:7" x14ac:dyDescent="0.25">
      <c r="B4" s="98" t="s">
        <v>72</v>
      </c>
      <c r="C4" s="99">
        <v>0.31</v>
      </c>
      <c r="D4" s="99">
        <v>0.31</v>
      </c>
      <c r="E4" s="99">
        <v>0.32</v>
      </c>
      <c r="F4" s="99">
        <v>0.32</v>
      </c>
      <c r="G4" s="99">
        <v>0.33</v>
      </c>
    </row>
    <row r="5" spans="2:7" x14ac:dyDescent="0.25">
      <c r="B5" s="96" t="s">
        <v>73</v>
      </c>
      <c r="C5" s="97">
        <v>0.21</v>
      </c>
      <c r="D5" s="97">
        <v>0.21</v>
      </c>
      <c r="E5" s="97">
        <v>0.2</v>
      </c>
      <c r="F5" s="97">
        <v>0.2</v>
      </c>
      <c r="G5" s="97">
        <v>0.2</v>
      </c>
    </row>
    <row r="6" spans="2:7" x14ac:dyDescent="0.25">
      <c r="B6" s="12"/>
      <c r="C6" s="100"/>
      <c r="D6" s="100"/>
      <c r="E6" s="100"/>
      <c r="F6" s="100"/>
      <c r="G6" s="100"/>
    </row>
    <row r="8" spans="2:7" x14ac:dyDescent="0.25">
      <c r="B8" s="94" t="s">
        <v>232</v>
      </c>
      <c r="C8" s="95" t="s">
        <v>227</v>
      </c>
      <c r="D8" s="95" t="s">
        <v>228</v>
      </c>
      <c r="E8" s="95" t="s">
        <v>229</v>
      </c>
      <c r="F8" s="95" t="s">
        <v>230</v>
      </c>
      <c r="G8" s="95" t="s">
        <v>231</v>
      </c>
    </row>
    <row r="9" spans="2:7" x14ac:dyDescent="0.25">
      <c r="B9" s="96" t="s">
        <v>71</v>
      </c>
      <c r="C9" s="97">
        <v>-0.02</v>
      </c>
      <c r="D9" s="97">
        <v>0</v>
      </c>
      <c r="E9" s="97">
        <v>0.01</v>
      </c>
      <c r="F9" s="97">
        <v>0.02</v>
      </c>
      <c r="G9" s="97">
        <v>0.02</v>
      </c>
    </row>
    <row r="10" spans="2:7" x14ac:dyDescent="0.25">
      <c r="B10" s="98" t="s">
        <v>72</v>
      </c>
      <c r="C10" s="99">
        <v>0.33</v>
      </c>
      <c r="D10" s="99">
        <v>0.33</v>
      </c>
      <c r="E10" s="99">
        <v>0.34</v>
      </c>
      <c r="F10" s="99">
        <v>0.35</v>
      </c>
      <c r="G10" s="99">
        <v>0.35</v>
      </c>
    </row>
    <row r="11" spans="2:7" x14ac:dyDescent="0.25">
      <c r="B11" s="96" t="s">
        <v>73</v>
      </c>
      <c r="C11" s="97">
        <v>0.2</v>
      </c>
      <c r="D11" s="97">
        <v>0.2</v>
      </c>
      <c r="E11" s="97">
        <v>0.19</v>
      </c>
      <c r="F11" s="97">
        <v>0.19</v>
      </c>
      <c r="G11" s="97">
        <v>0.18</v>
      </c>
    </row>
    <row r="12" spans="2:7" x14ac:dyDescent="0.25">
      <c r="B12" s="12"/>
      <c r="C12" s="100"/>
      <c r="D12" s="100"/>
      <c r="E12" s="100"/>
      <c r="F12" s="100"/>
      <c r="G12" s="100"/>
    </row>
    <row r="14" spans="2:7" x14ac:dyDescent="0.25">
      <c r="B14" s="94" t="s">
        <v>233</v>
      </c>
      <c r="C14" s="95" t="s">
        <v>227</v>
      </c>
      <c r="D14" s="95" t="s">
        <v>228</v>
      </c>
      <c r="E14" s="95" t="s">
        <v>229</v>
      </c>
      <c r="F14" s="95" t="s">
        <v>230</v>
      </c>
      <c r="G14" s="95" t="s">
        <v>231</v>
      </c>
    </row>
    <row r="15" spans="2:7" x14ac:dyDescent="0.25">
      <c r="B15" s="96" t="s">
        <v>71</v>
      </c>
      <c r="C15" s="97">
        <v>0.01</v>
      </c>
      <c r="D15" s="97">
        <v>0.02</v>
      </c>
      <c r="E15" s="97">
        <v>0.03</v>
      </c>
      <c r="F15" s="97">
        <v>0.03</v>
      </c>
      <c r="G15" s="97">
        <v>0.03</v>
      </c>
    </row>
    <row r="16" spans="2:7" x14ac:dyDescent="0.25">
      <c r="B16" s="98" t="s">
        <v>72</v>
      </c>
      <c r="C16" s="99">
        <v>0.34</v>
      </c>
      <c r="D16" s="99">
        <v>0.35</v>
      </c>
      <c r="E16" s="99">
        <v>0.36</v>
      </c>
      <c r="F16" s="99">
        <v>0.37</v>
      </c>
      <c r="G16" s="99">
        <v>0.38</v>
      </c>
    </row>
    <row r="17" spans="2:7" x14ac:dyDescent="0.25">
      <c r="B17" s="96" t="s">
        <v>73</v>
      </c>
      <c r="C17" s="97">
        <v>0.19</v>
      </c>
      <c r="D17" s="97">
        <v>0.18</v>
      </c>
      <c r="E17" s="97">
        <v>0.18</v>
      </c>
      <c r="F17" s="97">
        <v>0.17</v>
      </c>
      <c r="G17" s="97">
        <v>0.17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A. Sources comptables</vt:lpstr>
      <vt:lpstr>1. Historique</vt:lpstr>
      <vt:lpstr>2. Projections</vt:lpstr>
      <vt:lpstr>3. DCF</vt:lpstr>
      <vt:lpstr>4. Multiples</vt:lpstr>
      <vt:lpstr>5. Bridge EV→Equity</vt:lpstr>
      <vt:lpstr>6. Synthèse</vt:lpstr>
      <vt:lpstr>Word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Oscar Rousset</cp:lastModifiedBy>
  <cp:revision>0</cp:revision>
  <dcterms:created xsi:type="dcterms:W3CDTF">2026-04-05T23:42:31Z</dcterms:created>
  <dcterms:modified xsi:type="dcterms:W3CDTF">2026-04-20T20:27:26Z</dcterms:modified>
  <dc:language>en-US</dc:language>
</cp:coreProperties>
</file>